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Eleves\Enseignement\ModulesProjet_NewOrdo\043-P_Infra\043-P_Infra-dossantogo-sesehe-carvalheru-bohlenlu\P-43\043-P_Infra\01-JournalDeTravail\"/>
    </mc:Choice>
  </mc:AlternateContent>
  <bookViews>
    <workbookView xWindow="0" yWindow="0" windowWidth="18870" windowHeight="7725" activeTab="6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3" r:id="rId7"/>
  </sheets>
  <definedNames>
    <definedName name="datDateBegin">Donnees!$C$9</definedName>
    <definedName name="ListTasks">Diagramme!$B$3:$B$20</definedName>
    <definedName name="lstTasks">Donnees!$C$20:$C$47</definedName>
    <definedName name="NbLessons">Diagramme!$C$3:$C$20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20" i="163" l="1"/>
  <c r="D39" i="163" s="1"/>
  <c r="D58" i="163" s="1"/>
  <c r="D77" i="163" s="1"/>
  <c r="D1" i="163"/>
  <c r="B94" i="163"/>
  <c r="B75" i="163"/>
  <c r="B56" i="163"/>
  <c r="B37" i="163"/>
  <c r="B18" i="163"/>
  <c r="B19" i="161"/>
  <c r="B17" i="161"/>
  <c r="B15" i="161"/>
  <c r="B13" i="161"/>
  <c r="B11" i="161"/>
  <c r="B9" i="161"/>
  <c r="B7" i="161"/>
  <c r="B5" i="161"/>
  <c r="C22" i="161"/>
  <c r="C21" i="161"/>
  <c r="B18" i="154" l="1"/>
  <c r="B13" i="11" l="1"/>
</calcChain>
</file>

<file path=xl/sharedStrings.xml><?xml version="1.0" encoding="utf-8"?>
<sst xmlns="http://schemas.openxmlformats.org/spreadsheetml/2006/main" count="111" uniqueCount="54">
  <si>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</si>
  <si>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</si>
  <si>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</si>
  <si>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</si>
  <si>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</si>
  <si>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</si>
  <si>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</si>
  <si>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</si>
  <si>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</si>
  <si>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</si>
  <si>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</si>
  <si>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</si>
  <si>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</si>
  <si>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</si>
  <si>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</si>
  <si>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</si>
  <si>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</si>
  <si>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</si>
  <si>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</si>
  <si>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</si>
  <si>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</si>
  <si>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</si>
  <si>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</si>
  <si>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</si>
  <si>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 1</t>
  </si>
  <si>
    <t>S 2</t>
  </si>
  <si>
    <t>S 3</t>
  </si>
  <si>
    <t>S 4</t>
  </si>
  <si>
    <t>S 5</t>
  </si>
  <si>
    <t>STOP</t>
  </si>
  <si>
    <t>Max. 12</t>
  </si>
  <si>
    <t>043-P_Infra</t>
  </si>
  <si>
    <t>ETML - Section Informatique - Rue de Sébeillon 12</t>
  </si>
  <si>
    <t>Rapport - JT</t>
  </si>
  <si>
    <t>Recherches</t>
  </si>
  <si>
    <t>Création des VLANs</t>
  </si>
  <si>
    <t>Création des VMs Windows 10</t>
  </si>
  <si>
    <t>Connexion des VMs au switch</t>
  </si>
  <si>
    <t>Configuration des VLANs</t>
  </si>
  <si>
    <t>Tests</t>
  </si>
  <si>
    <t>Présentation</t>
  </si>
  <si>
    <t>Luca Bohlen</t>
  </si>
  <si>
    <t>CIN2B</t>
  </si>
  <si>
    <t>Schema Visio</t>
  </si>
  <si>
    <t>Lire le CDC</t>
  </si>
  <si>
    <t>J'ai créer mon journal de travail avec les différents points énumérés dans le cahier des charges. J'ai rempli mon journal de travail.</t>
  </si>
  <si>
    <t>Le prof nous à montrer le CDC et nous avons détérminé les groupes à l'aide d'un random.</t>
  </si>
  <si>
    <t>Présentation des différents éléments actifs que nous allons utiliser (Switch, AccesPoint, Routeur, PareFeu, Serveur, Mini-PC, Téléphone).</t>
  </si>
  <si>
    <t>Journal de travail</t>
  </si>
  <si>
    <t>Cahier des charges</t>
  </si>
  <si>
    <t>Modifications du rapport - Ajout d'une image. Et modification du README dans le dépôt Git.</t>
  </si>
  <si>
    <t>Aide Luca à  écrire les commandes</t>
  </si>
  <si>
    <t>Mise à jour du journal de travail</t>
  </si>
  <si>
    <t>Session de débogage avec Ruben
Résolution en équipe avec l'aide du prof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</si>
</sst>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7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3249" name="btnImportRealisation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7.emf"/><Relationship Id="rId2" Type="http://schemas.openxmlformats.org/officeDocument/2006/relationships/hyperlink" Target="..\..\03-CahierDesCharges\E-P_Infra-ALL01-CDC1_ConfigCommutateur.pdf" TargetMode="External"/><Relationship Id="rId1" Type="http://schemas.openxmlformats.org/officeDocument/2006/relationships/hyperlink" Target="043-P_Infra-JT-bohlenlu.xlsm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5"/>
  <sheetViews>
    <sheetView view="pageBreakPreview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9" customWidth="1"/>
    <col min="2" max="2" width="55.140625" style="59" customWidth="1"/>
    <col min="3" max="3" width="88.5703125" style="59" customWidth="1"/>
    <col min="4" max="4" width="3.42578125" style="59" customWidth="1"/>
    <col min="5" max="6" width="11.5703125" style="59"/>
    <col min="7" max="7" width="3.28515625" style="59" customWidth="1"/>
    <col min="8" max="16384" width="11.5703125" style="59"/>
  </cols>
  <sheetData>
    <row r="1" spans="1:7" x14ac:dyDescent="0.25">
      <c r="A1" s="56"/>
      <c r="B1" s="57"/>
      <c r="C1" s="57"/>
      <c r="D1" s="57"/>
      <c r="E1" s="57"/>
      <c r="F1" s="57"/>
      <c r="G1" s="58"/>
    </row>
    <row r="2" spans="1:7" ht="14.25" thickBot="1" x14ac:dyDescent="0.3">
      <c r="A2" s="60"/>
      <c r="B2" s="61"/>
      <c r="C2" s="61"/>
      <c r="D2" s="61"/>
      <c r="E2" s="61"/>
      <c r="F2" s="61"/>
      <c r="G2" s="62"/>
    </row>
    <row r="3" spans="1:7" ht="20.25" x14ac:dyDescent="0.25">
      <c r="A3" s="60"/>
      <c r="B3" s="63" t="s">
        <v>0</v>
      </c>
      <c r="C3" s="64" t="s">
        <v>31</v>
      </c>
      <c r="D3" s="61"/>
      <c r="E3" s="61"/>
      <c r="F3" s="61"/>
      <c r="G3" s="62"/>
    </row>
    <row r="4" spans="1:7" ht="20.25" x14ac:dyDescent="0.25">
      <c r="A4" s="60"/>
      <c r="B4" s="65" t="s">
        <v>4</v>
      </c>
      <c r="C4" s="66" t="s">
        <v>41</v>
      </c>
      <c r="D4" s="61"/>
      <c r="E4" s="61"/>
      <c r="F4" s="61"/>
      <c r="G4" s="62"/>
    </row>
    <row r="5" spans="1:7" ht="20.25" x14ac:dyDescent="0.25">
      <c r="A5" s="60"/>
      <c r="B5" s="65" t="s">
        <v>1</v>
      </c>
      <c r="C5" s="66" t="s">
        <v>42</v>
      </c>
      <c r="D5" s="61"/>
      <c r="E5" s="61"/>
      <c r="F5" s="61"/>
      <c r="G5" s="62"/>
    </row>
    <row r="6" spans="1:7" ht="21" thickBot="1" x14ac:dyDescent="0.3">
      <c r="A6" s="60"/>
      <c r="B6" s="67" t="s">
        <v>2</v>
      </c>
      <c r="C6" s="68" t="s">
        <v>32</v>
      </c>
      <c r="D6" s="61"/>
      <c r="E6" s="61"/>
      <c r="F6" s="61"/>
      <c r="G6" s="62"/>
    </row>
    <row r="7" spans="1:7" x14ac:dyDescent="0.25">
      <c r="A7" s="60"/>
      <c r="B7" s="61"/>
      <c r="C7" s="61"/>
      <c r="D7" s="61"/>
      <c r="E7" s="61"/>
      <c r="F7" s="61"/>
      <c r="G7" s="62"/>
    </row>
    <row r="8" spans="1:7" ht="14.25" thickBot="1" x14ac:dyDescent="0.3">
      <c r="A8" s="60"/>
      <c r="B8" s="61"/>
      <c r="C8" s="61"/>
      <c r="D8" s="61"/>
      <c r="E8" s="61"/>
      <c r="F8" s="61"/>
      <c r="G8" s="62"/>
    </row>
    <row r="9" spans="1:7" ht="20.25" x14ac:dyDescent="0.25">
      <c r="A9" s="60"/>
      <c r="B9" s="63" t="s">
        <v>9</v>
      </c>
      <c r="C9" s="69">
        <v>43504</v>
      </c>
      <c r="D9" s="61"/>
      <c r="E9" s="61"/>
      <c r="F9" s="61"/>
      <c r="G9" s="62"/>
    </row>
    <row r="10" spans="1:7" ht="20.25" x14ac:dyDescent="0.25">
      <c r="A10" s="60"/>
      <c r="B10" s="70" t="s">
        <v>8</v>
      </c>
      <c r="C10" s="71">
        <v>43539</v>
      </c>
      <c r="D10" s="61"/>
      <c r="E10" s="61"/>
      <c r="F10" s="61"/>
      <c r="G10" s="62"/>
    </row>
    <row r="11" spans="1:7" ht="20.25" x14ac:dyDescent="0.25">
      <c r="A11" s="60"/>
      <c r="B11" s="70" t="s">
        <v>10</v>
      </c>
      <c r="C11" s="72">
        <v>5</v>
      </c>
      <c r="D11" s="61"/>
      <c r="E11" s="61"/>
      <c r="F11" s="61"/>
      <c r="G11" s="62"/>
    </row>
    <row r="12" spans="1:7" ht="20.25" x14ac:dyDescent="0.25">
      <c r="A12" s="60"/>
      <c r="B12" s="65" t="s">
        <v>11</v>
      </c>
      <c r="C12" s="73">
        <v>4</v>
      </c>
      <c r="D12" s="61"/>
      <c r="E12" s="61"/>
      <c r="F12" s="61"/>
      <c r="G12" s="62"/>
    </row>
    <row r="13" spans="1:7" ht="20.25" x14ac:dyDescent="0.25">
      <c r="A13" s="60"/>
      <c r="B13" s="65" t="s">
        <v>12</v>
      </c>
      <c r="C13" s="73">
        <v>3</v>
      </c>
      <c r="D13" s="61"/>
      <c r="E13" s="61"/>
      <c r="F13" s="61"/>
      <c r="G13" s="62"/>
    </row>
    <row r="14" spans="1:7" ht="20.25" thickBot="1" x14ac:dyDescent="0.3">
      <c r="A14" s="60"/>
      <c r="B14" s="74"/>
      <c r="C14" s="75" t="s">
        <v>6</v>
      </c>
      <c r="D14" s="61"/>
      <c r="E14" s="61"/>
      <c r="F14" s="61"/>
      <c r="G14" s="62"/>
    </row>
    <row r="15" spans="1:7" x14ac:dyDescent="0.25">
      <c r="A15" s="60"/>
      <c r="B15" s="61"/>
      <c r="C15" s="61"/>
      <c r="D15" s="61"/>
      <c r="E15" s="61"/>
      <c r="F15" s="61"/>
      <c r="G15" s="62"/>
    </row>
    <row r="16" spans="1:7" ht="14.25" thickBot="1" x14ac:dyDescent="0.3">
      <c r="A16" s="76"/>
      <c r="B16" s="77"/>
      <c r="C16" s="77"/>
      <c r="D16" s="77"/>
      <c r="E16" s="77"/>
      <c r="F16" s="77"/>
      <c r="G16" s="78"/>
    </row>
    <row r="17" spans="1:13" x14ac:dyDescent="0.25">
      <c r="A17" s="79"/>
      <c r="B17" s="57"/>
      <c r="C17" s="57"/>
      <c r="D17" s="57"/>
      <c r="E17" s="57"/>
      <c r="F17" s="57"/>
      <c r="G17" s="58"/>
    </row>
    <row r="18" spans="1:13" ht="14.25" thickBot="1" x14ac:dyDescent="0.3">
      <c r="A18" s="80"/>
      <c r="B18" s="61"/>
      <c r="C18" s="61"/>
      <c r="D18" s="61"/>
      <c r="E18" s="61"/>
      <c r="F18" s="61"/>
      <c r="G18" s="62"/>
    </row>
    <row r="19" spans="1:13" ht="21" thickBot="1" x14ac:dyDescent="0.3">
      <c r="A19" s="80"/>
      <c r="B19" s="115" t="s">
        <v>19</v>
      </c>
      <c r="C19" s="116"/>
      <c r="D19" s="61"/>
      <c r="E19" s="61"/>
      <c r="F19" s="61"/>
      <c r="G19" s="62"/>
    </row>
    <row r="20" spans="1:13" ht="20.25" x14ac:dyDescent="0.25">
      <c r="A20" s="80"/>
      <c r="B20" s="81" t="s">
        <v>20</v>
      </c>
      <c r="C20" s="82" t="s">
        <v>21</v>
      </c>
      <c r="D20" s="61"/>
      <c r="E20" s="61"/>
      <c r="F20" s="61"/>
      <c r="G20" s="62"/>
    </row>
    <row r="21" spans="1:13" ht="20.25" x14ac:dyDescent="0.25">
      <c r="A21" s="80"/>
      <c r="B21" s="81">
        <v>1</v>
      </c>
      <c r="C21" s="72" t="s">
        <v>33</v>
      </c>
      <c r="D21" s="61"/>
      <c r="E21" s="61"/>
      <c r="F21" s="61"/>
      <c r="G21" s="62"/>
    </row>
    <row r="22" spans="1:13" ht="20.25" x14ac:dyDescent="0.25">
      <c r="A22" s="80"/>
      <c r="B22" s="81">
        <v>2</v>
      </c>
      <c r="C22" s="72" t="s">
        <v>44</v>
      </c>
      <c r="D22" s="61"/>
      <c r="E22" s="61"/>
      <c r="F22" s="61"/>
      <c r="G22" s="62"/>
    </row>
    <row r="23" spans="1:13" ht="20.25" x14ac:dyDescent="0.25">
      <c r="A23" s="80"/>
      <c r="B23" s="83">
        <v>3</v>
      </c>
      <c r="C23" s="72" t="s">
        <v>43</v>
      </c>
      <c r="D23" s="61"/>
      <c r="E23" s="61"/>
      <c r="F23" s="61"/>
      <c r="G23" s="62"/>
    </row>
    <row r="24" spans="1:13" ht="20.25" x14ac:dyDescent="0.25">
      <c r="A24" s="80"/>
      <c r="B24" s="81">
        <v>4</v>
      </c>
      <c r="C24" s="72" t="s">
        <v>34</v>
      </c>
      <c r="D24" s="61"/>
      <c r="E24" s="61"/>
      <c r="F24" s="61"/>
      <c r="G24" s="62"/>
    </row>
    <row r="25" spans="1:13" ht="20.25" x14ac:dyDescent="0.25">
      <c r="A25" s="80"/>
      <c r="B25" s="81">
        <v>5</v>
      </c>
      <c r="C25" s="72" t="s">
        <v>36</v>
      </c>
      <c r="D25" s="61"/>
      <c r="E25" s="61"/>
      <c r="F25" s="61"/>
      <c r="G25" s="62"/>
    </row>
    <row r="26" spans="1:13" ht="20.25" x14ac:dyDescent="0.25">
      <c r="A26" s="80"/>
      <c r="B26" s="83">
        <v>6</v>
      </c>
      <c r="C26" s="72" t="s">
        <v>37</v>
      </c>
      <c r="D26" s="61"/>
      <c r="E26" s="61"/>
      <c r="F26" s="61"/>
      <c r="G26" s="62"/>
    </row>
    <row r="27" spans="1:13" ht="20.25" x14ac:dyDescent="0.25">
      <c r="A27" s="80"/>
      <c r="B27" s="81">
        <v>7</v>
      </c>
      <c r="C27" s="72" t="s">
        <v>35</v>
      </c>
      <c r="D27" s="61"/>
      <c r="E27" s="61"/>
      <c r="F27" s="61"/>
      <c r="G27" s="62"/>
    </row>
    <row r="28" spans="1:13" ht="20.25" x14ac:dyDescent="0.25">
      <c r="A28" s="80"/>
      <c r="B28" s="81">
        <v>8</v>
      </c>
      <c r="C28" s="72" t="s">
        <v>38</v>
      </c>
      <c r="D28" s="61"/>
      <c r="E28" s="61"/>
      <c r="F28" s="61"/>
      <c r="G28" s="62"/>
    </row>
    <row r="29" spans="1:13" ht="20.25" x14ac:dyDescent="0.25">
      <c r="A29" s="80"/>
      <c r="B29" s="83">
        <v>9</v>
      </c>
      <c r="C29" s="73" t="s">
        <v>39</v>
      </c>
      <c r="D29" s="61"/>
      <c r="E29" s="61"/>
      <c r="F29" s="61"/>
      <c r="G29" s="62"/>
    </row>
    <row r="30" spans="1:13" ht="20.25" x14ac:dyDescent="0.25">
      <c r="A30" s="80"/>
      <c r="B30" s="81">
        <v>10</v>
      </c>
      <c r="C30" s="73" t="s">
        <v>40</v>
      </c>
      <c r="D30" s="61"/>
      <c r="E30" s="61"/>
      <c r="F30" s="61"/>
      <c r="G30" s="62"/>
    </row>
    <row r="31" spans="1:13" ht="20.25" x14ac:dyDescent="0.25">
      <c r="A31" s="80"/>
      <c r="B31" s="81">
        <v>11</v>
      </c>
      <c r="C31" s="72"/>
      <c r="D31" s="61"/>
      <c r="E31" s="61"/>
      <c r="F31" s="61"/>
      <c r="G31" s="62"/>
      <c r="H31" s="84"/>
      <c r="I31" s="84"/>
      <c r="J31" s="84"/>
      <c r="K31" s="84"/>
      <c r="L31" s="84"/>
      <c r="M31" s="84"/>
    </row>
    <row r="32" spans="1:13" ht="20.25" x14ac:dyDescent="0.25">
      <c r="A32" s="80"/>
      <c r="B32" s="83">
        <v>12</v>
      </c>
      <c r="C32" s="72"/>
      <c r="D32" s="61"/>
      <c r="E32" s="61"/>
      <c r="F32" s="61"/>
      <c r="G32" s="62"/>
      <c r="H32" s="84"/>
      <c r="I32" s="84"/>
      <c r="J32" s="84"/>
      <c r="K32" s="84"/>
      <c r="L32" s="84"/>
      <c r="M32" s="84"/>
    </row>
    <row r="33" spans="1:13" ht="20.25" x14ac:dyDescent="0.25">
      <c r="A33" s="80"/>
      <c r="B33" s="81">
        <v>13</v>
      </c>
      <c r="C33" s="72"/>
      <c r="D33" s="61"/>
      <c r="E33" s="61"/>
      <c r="F33" s="61"/>
      <c r="G33" s="62"/>
      <c r="H33" s="84"/>
      <c r="I33" s="84"/>
      <c r="J33" s="84"/>
      <c r="K33" s="84"/>
      <c r="L33" s="84"/>
      <c r="M33" s="84"/>
    </row>
    <row r="34" spans="1:13" ht="20.25" x14ac:dyDescent="0.25">
      <c r="A34" s="80"/>
      <c r="B34" s="81">
        <v>14</v>
      </c>
      <c r="C34" s="73"/>
      <c r="D34" s="61"/>
      <c r="E34" s="61"/>
      <c r="F34" s="61"/>
      <c r="G34" s="62"/>
      <c r="H34" s="84"/>
      <c r="I34" s="84"/>
      <c r="J34" s="84"/>
      <c r="K34" s="84"/>
      <c r="L34" s="84"/>
      <c r="M34" s="84"/>
    </row>
    <row r="35" spans="1:13" ht="20.25" x14ac:dyDescent="0.25">
      <c r="A35" s="80"/>
      <c r="B35" s="83">
        <v>15</v>
      </c>
      <c r="C35" s="73"/>
      <c r="D35" s="61"/>
      <c r="E35" s="61"/>
      <c r="F35" s="61"/>
      <c r="G35" s="62"/>
      <c r="H35" s="84"/>
      <c r="I35" s="84"/>
      <c r="J35" s="84"/>
      <c r="K35" s="84"/>
      <c r="L35" s="84"/>
      <c r="M35" s="84"/>
    </row>
    <row r="36" spans="1:13" ht="20.25" x14ac:dyDescent="0.25">
      <c r="A36" s="80"/>
      <c r="B36" s="81">
        <v>16</v>
      </c>
      <c r="C36" s="72"/>
      <c r="D36" s="61"/>
      <c r="E36" s="61"/>
      <c r="F36" s="61"/>
      <c r="G36" s="62"/>
      <c r="H36" s="84"/>
      <c r="I36" s="84"/>
      <c r="J36" s="84"/>
      <c r="K36" s="84"/>
      <c r="L36" s="84"/>
      <c r="M36" s="84"/>
    </row>
    <row r="37" spans="1:13" ht="20.25" x14ac:dyDescent="0.25">
      <c r="A37" s="80"/>
      <c r="B37" s="81">
        <v>17</v>
      </c>
      <c r="C37" s="72"/>
      <c r="D37" s="61"/>
      <c r="E37" s="61"/>
      <c r="F37" s="61"/>
      <c r="G37" s="62"/>
      <c r="H37" s="84"/>
      <c r="I37" s="84"/>
      <c r="J37" s="84"/>
      <c r="K37" s="84"/>
      <c r="L37" s="84"/>
      <c r="M37" s="84"/>
    </row>
    <row r="38" spans="1:13" ht="20.25" x14ac:dyDescent="0.25">
      <c r="A38" s="80"/>
      <c r="B38" s="83">
        <v>18</v>
      </c>
      <c r="C38" s="72"/>
      <c r="D38" s="61"/>
      <c r="E38" s="61"/>
      <c r="F38" s="61"/>
      <c r="G38" s="62"/>
      <c r="H38" s="84"/>
      <c r="I38" s="84"/>
      <c r="J38" s="84"/>
      <c r="K38" s="84"/>
      <c r="L38" s="84"/>
      <c r="M38" s="84"/>
    </row>
    <row r="39" spans="1:13" ht="20.25" x14ac:dyDescent="0.25">
      <c r="A39" s="80"/>
      <c r="B39" s="81">
        <v>19</v>
      </c>
      <c r="C39" s="72"/>
      <c r="D39" s="61"/>
      <c r="E39" s="61"/>
      <c r="F39" s="61"/>
      <c r="G39" s="62"/>
      <c r="H39" s="84"/>
      <c r="I39" s="84"/>
      <c r="J39" s="84"/>
      <c r="K39" s="84"/>
      <c r="L39" s="84"/>
      <c r="M39" s="84"/>
    </row>
    <row r="40" spans="1:13" ht="20.25" x14ac:dyDescent="0.25">
      <c r="A40" s="80"/>
      <c r="B40" s="81">
        <v>20</v>
      </c>
      <c r="C40" s="72"/>
      <c r="D40" s="61"/>
      <c r="E40" s="61"/>
      <c r="F40" s="61"/>
      <c r="G40" s="62"/>
      <c r="H40" s="84"/>
      <c r="I40" s="84"/>
      <c r="J40" s="84"/>
      <c r="K40" s="84"/>
      <c r="L40" s="84"/>
      <c r="M40" s="84"/>
    </row>
    <row r="41" spans="1:13" ht="20.25" x14ac:dyDescent="0.25">
      <c r="A41" s="80"/>
      <c r="B41" s="83">
        <v>21</v>
      </c>
      <c r="C41" s="72"/>
      <c r="D41" s="61"/>
      <c r="E41" s="61"/>
      <c r="F41" s="61"/>
      <c r="G41" s="62"/>
      <c r="H41" s="84"/>
      <c r="I41" s="84"/>
      <c r="J41" s="84"/>
      <c r="K41" s="84"/>
      <c r="L41" s="84"/>
      <c r="M41" s="84"/>
    </row>
    <row r="42" spans="1:13" ht="20.25" x14ac:dyDescent="0.25">
      <c r="A42" s="80"/>
      <c r="B42" s="81">
        <v>22</v>
      </c>
      <c r="C42" s="73"/>
      <c r="D42" s="61"/>
      <c r="E42" s="61"/>
      <c r="F42" s="61"/>
      <c r="G42" s="62"/>
      <c r="H42" s="84"/>
      <c r="I42" s="84"/>
      <c r="J42" s="84"/>
      <c r="K42" s="84"/>
      <c r="L42" s="84"/>
      <c r="M42" s="84"/>
    </row>
    <row r="43" spans="1:13" ht="20.25" x14ac:dyDescent="0.25">
      <c r="A43" s="80"/>
      <c r="B43" s="81">
        <v>23</v>
      </c>
      <c r="C43" s="73"/>
      <c r="D43" s="61"/>
      <c r="E43" s="61"/>
      <c r="F43" s="61"/>
      <c r="G43" s="62"/>
      <c r="H43" s="84"/>
      <c r="I43" s="84"/>
      <c r="J43" s="84"/>
      <c r="K43" s="84"/>
      <c r="L43" s="84"/>
      <c r="M43" s="84"/>
    </row>
    <row r="44" spans="1:13" ht="20.25" x14ac:dyDescent="0.25">
      <c r="A44" s="80"/>
      <c r="B44" s="83">
        <v>24</v>
      </c>
      <c r="C44" s="72"/>
      <c r="D44" s="61"/>
      <c r="E44" s="61"/>
      <c r="F44" s="61"/>
      <c r="G44" s="62"/>
      <c r="H44" s="84"/>
      <c r="I44" s="84"/>
      <c r="J44" s="84"/>
      <c r="K44" s="84"/>
      <c r="L44" s="84"/>
      <c r="M44" s="84"/>
    </row>
    <row r="45" spans="1:13" ht="20.25" x14ac:dyDescent="0.25">
      <c r="A45" s="80"/>
      <c r="B45" s="85">
        <v>25</v>
      </c>
      <c r="C45" s="72"/>
      <c r="D45" s="61"/>
      <c r="E45" s="61"/>
      <c r="F45" s="61"/>
      <c r="G45" s="62"/>
      <c r="H45" s="84"/>
      <c r="I45" s="84"/>
      <c r="J45" s="84"/>
      <c r="K45" s="84"/>
      <c r="L45" s="84"/>
      <c r="M45" s="84"/>
    </row>
    <row r="46" spans="1:13" ht="20.25" x14ac:dyDescent="0.25">
      <c r="A46" s="80"/>
      <c r="B46" s="83">
        <v>26</v>
      </c>
      <c r="C46" s="72"/>
      <c r="D46" s="61"/>
      <c r="E46" s="61"/>
      <c r="F46" s="61"/>
      <c r="G46" s="62"/>
      <c r="H46" s="84"/>
      <c r="I46" s="84"/>
      <c r="J46" s="84"/>
      <c r="K46" s="84"/>
      <c r="L46" s="84"/>
      <c r="M46" s="84"/>
    </row>
    <row r="47" spans="1:13" ht="21" thickBot="1" x14ac:dyDescent="0.3">
      <c r="A47" s="80"/>
      <c r="B47" s="83">
        <v>27</v>
      </c>
      <c r="C47" s="86"/>
      <c r="D47" s="61"/>
      <c r="E47" s="61"/>
      <c r="F47" s="61"/>
      <c r="G47" s="62"/>
      <c r="H47" s="84"/>
      <c r="I47" s="84"/>
      <c r="J47" s="84"/>
      <c r="K47" s="84"/>
      <c r="L47" s="84"/>
      <c r="M47" s="84"/>
    </row>
    <row r="48" spans="1:13" x14ac:dyDescent="0.25">
      <c r="A48" s="80"/>
      <c r="B48" s="57"/>
      <c r="C48" s="61"/>
      <c r="D48" s="61"/>
      <c r="E48" s="61"/>
      <c r="F48" s="61"/>
      <c r="G48" s="62"/>
      <c r="H48" s="84"/>
      <c r="I48" s="84"/>
      <c r="J48" s="84"/>
      <c r="K48" s="84"/>
      <c r="L48" s="84"/>
      <c r="M48" s="84"/>
    </row>
    <row r="49" spans="1:13" x14ac:dyDescent="0.25">
      <c r="A49" s="80"/>
      <c r="B49" s="61"/>
      <c r="C49" s="61"/>
      <c r="D49" s="61"/>
      <c r="E49" s="61"/>
      <c r="F49" s="61"/>
      <c r="G49" s="62"/>
      <c r="H49" s="84"/>
      <c r="I49" s="84"/>
      <c r="J49" s="84"/>
      <c r="K49" s="84"/>
      <c r="L49" s="84"/>
      <c r="M49" s="84"/>
    </row>
    <row r="50" spans="1:13" x14ac:dyDescent="0.25">
      <c r="A50" s="80"/>
      <c r="B50" s="61"/>
      <c r="C50" s="61"/>
      <c r="D50" s="61"/>
      <c r="E50" s="61"/>
      <c r="F50" s="61"/>
      <c r="G50" s="62"/>
      <c r="H50" s="84"/>
      <c r="I50" s="84"/>
      <c r="J50" s="84"/>
      <c r="K50" s="84"/>
      <c r="L50" s="84"/>
      <c r="M50" s="84"/>
    </row>
    <row r="51" spans="1:13" x14ac:dyDescent="0.25">
      <c r="A51" s="80"/>
      <c r="B51" s="61"/>
      <c r="C51" s="61"/>
      <c r="D51" s="61"/>
      <c r="E51" s="61"/>
      <c r="F51" s="61"/>
      <c r="G51" s="62"/>
      <c r="H51" s="84"/>
      <c r="I51" s="84"/>
      <c r="J51" s="84"/>
      <c r="K51" s="84"/>
      <c r="L51" s="84"/>
      <c r="M51" s="84"/>
    </row>
    <row r="52" spans="1:13" x14ac:dyDescent="0.25">
      <c r="A52" s="80"/>
      <c r="B52" s="61"/>
      <c r="C52" s="61"/>
      <c r="D52" s="61"/>
      <c r="E52" s="61"/>
      <c r="F52" s="61"/>
      <c r="G52" s="62"/>
      <c r="H52" s="84"/>
      <c r="I52" s="84"/>
      <c r="J52" s="84"/>
      <c r="K52" s="84"/>
      <c r="L52" s="84"/>
      <c r="M52" s="84"/>
    </row>
    <row r="53" spans="1:13" x14ac:dyDescent="0.25">
      <c r="A53" s="80"/>
      <c r="B53" s="61"/>
      <c r="C53" s="61"/>
      <c r="D53" s="61"/>
      <c r="E53" s="61"/>
      <c r="F53" s="61"/>
      <c r="G53" s="62"/>
      <c r="H53" s="84"/>
      <c r="I53" s="84"/>
      <c r="J53" s="84"/>
      <c r="K53" s="84"/>
      <c r="L53" s="84"/>
      <c r="M53" s="84"/>
    </row>
    <row r="54" spans="1:13" ht="14.25" thickBot="1" x14ac:dyDescent="0.3">
      <c r="A54" s="87"/>
      <c r="B54" s="61"/>
      <c r="C54" s="61"/>
      <c r="D54" s="77"/>
      <c r="E54" s="77"/>
      <c r="F54" s="77"/>
      <c r="G54" s="78"/>
      <c r="H54" s="84"/>
      <c r="I54" s="84"/>
      <c r="J54" s="84"/>
      <c r="K54" s="84"/>
      <c r="L54" s="84"/>
      <c r="M54" s="84"/>
    </row>
    <row r="55" spans="1:13" x14ac:dyDescent="0.25">
      <c r="A55" s="84"/>
      <c r="B55" s="61"/>
      <c r="C55" s="61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1:13" ht="14.25" thickBot="1" x14ac:dyDescent="0.3">
      <c r="A56" s="84"/>
      <c r="B56" s="77"/>
      <c r="C56" s="77"/>
      <c r="D56" s="84"/>
      <c r="E56" s="84"/>
      <c r="F56" s="84"/>
      <c r="G56" s="84"/>
      <c r="H56" s="84"/>
      <c r="I56" s="84"/>
      <c r="J56" s="84"/>
      <c r="K56" s="84"/>
      <c r="L56" s="84"/>
      <c r="M56" s="84"/>
    </row>
    <row r="57" spans="1:13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</row>
    <row r="58" spans="1:13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</row>
    <row r="59" spans="1:13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</row>
    <row r="60" spans="1:13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</row>
    <row r="61" spans="1:13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</row>
    <row r="62" spans="1:13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</row>
    <row r="63" spans="1:13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</row>
    <row r="64" spans="1:13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1:13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</row>
    <row r="66" spans="1:13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</row>
    <row r="67" spans="1:13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</row>
    <row r="68" spans="1:13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1:13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</row>
    <row r="70" spans="1:13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1:13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</row>
    <row r="72" spans="1:13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1:13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</row>
    <row r="74" spans="1:13" x14ac:dyDescent="0.25">
      <c r="B74" s="84"/>
      <c r="C74" s="84"/>
    </row>
    <row r="75" spans="1:13" x14ac:dyDescent="0.25">
      <c r="B75" s="84"/>
      <c r="C75" s="84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BK2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63" ht="14.25" thickBot="1" x14ac:dyDescent="0.3">
      <c r="B1" s="89"/>
      <c r="C1" s="89"/>
    </row>
    <row r="2" spans="1:63" ht="42.75" customHeight="1" thickBot="1" x14ac:dyDescent="0.3">
      <c r="A2" s="90"/>
      <c r="B2" s="24" t="s">
        <v>5</v>
      </c>
      <c r="C2" s="15" t="s">
        <v>18</v>
      </c>
      <c r="D2" s="117" t="s">
        <v>24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9"/>
      <c r="P2" s="117" t="s">
        <v>25</v>
      </c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9"/>
      <c r="AB2" s="117" t="s">
        <v>26</v>
      </c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9"/>
      <c r="AN2" s="117" t="s">
        <v>27</v>
      </c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9"/>
      <c r="AZ2" s="117" t="s">
        <v>28</v>
      </c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9"/>
    </row>
    <row r="3" spans="1:63" ht="19.5" customHeight="1" x14ac:dyDescent="0.25">
      <c r="A3" s="90"/>
      <c r="B3" s="122" t="s">
        <v>21</v>
      </c>
      <c r="C3" s="16">
        <v>0</v>
      </c>
      <c r="D3" s="102"/>
      <c r="E3" s="103"/>
      <c r="F3" s="104"/>
      <c r="G3" s="105"/>
      <c r="H3" s="103"/>
      <c r="I3" s="104"/>
      <c r="J3" s="105"/>
      <c r="K3" s="103"/>
      <c r="L3" s="104"/>
      <c r="M3" s="105"/>
      <c r="N3" s="103"/>
      <c r="O3" s="106"/>
      <c r="P3" s="102"/>
      <c r="Q3" s="103"/>
      <c r="R3" s="104"/>
      <c r="S3" s="105"/>
      <c r="T3" s="103"/>
      <c r="U3" s="104"/>
      <c r="V3" s="105"/>
      <c r="W3" s="103"/>
      <c r="X3" s="104"/>
      <c r="Y3" s="105"/>
      <c r="Z3" s="103"/>
      <c r="AA3" s="106"/>
      <c r="AB3" s="102"/>
      <c r="AC3" s="103"/>
      <c r="AD3" s="104"/>
      <c r="AE3" s="105"/>
      <c r="AF3" s="103"/>
      <c r="AG3" s="104"/>
      <c r="AH3" s="105"/>
      <c r="AI3" s="103"/>
      <c r="AJ3" s="104"/>
      <c r="AK3" s="105"/>
      <c r="AL3" s="103"/>
      <c r="AM3" s="106"/>
      <c r="AN3" s="102"/>
      <c r="AO3" s="103"/>
      <c r="AP3" s="104"/>
      <c r="AQ3" s="105"/>
      <c r="AR3" s="103"/>
      <c r="AS3" s="104"/>
      <c r="AT3" s="105"/>
      <c r="AU3" s="103"/>
      <c r="AV3" s="104"/>
      <c r="AW3" s="105"/>
      <c r="AX3" s="103"/>
      <c r="AY3" s="106"/>
      <c r="AZ3" s="102"/>
      <c r="BA3" s="103"/>
      <c r="BB3" s="104"/>
      <c r="BC3" s="105"/>
      <c r="BD3" s="103"/>
      <c r="BE3" s="104"/>
      <c r="BF3" s="105"/>
      <c r="BG3" s="103"/>
      <c r="BH3" s="104"/>
      <c r="BI3" s="105"/>
      <c r="BJ3" s="103"/>
      <c r="BK3" s="106"/>
    </row>
    <row r="4" spans="1:63" ht="19.5" customHeight="1" thickBot="1" x14ac:dyDescent="0.3">
      <c r="A4" s="90"/>
      <c r="B4" s="123"/>
      <c r="C4" s="23">
        <v>0</v>
      </c>
      <c r="D4" s="107"/>
      <c r="E4" s="108"/>
      <c r="F4" s="109"/>
      <c r="G4" s="110"/>
      <c r="H4" s="108"/>
      <c r="I4" s="109"/>
      <c r="J4" s="110"/>
      <c r="K4" s="108"/>
      <c r="L4" s="109"/>
      <c r="M4" s="110"/>
      <c r="N4" s="108"/>
      <c r="O4" s="111"/>
      <c r="P4" s="107"/>
      <c r="Q4" s="108"/>
      <c r="R4" s="109"/>
      <c r="S4" s="110"/>
      <c r="T4" s="108"/>
      <c r="U4" s="109"/>
      <c r="V4" s="110"/>
      <c r="W4" s="108"/>
      <c r="X4" s="109"/>
      <c r="Y4" s="110"/>
      <c r="Z4" s="108"/>
      <c r="AA4" s="111"/>
      <c r="AB4" s="107"/>
      <c r="AC4" s="108"/>
      <c r="AD4" s="109"/>
      <c r="AE4" s="110"/>
      <c r="AF4" s="108"/>
      <c r="AG4" s="109"/>
      <c r="AH4" s="110"/>
      <c r="AI4" s="108"/>
      <c r="AJ4" s="109"/>
      <c r="AK4" s="110"/>
      <c r="AL4" s="108"/>
      <c r="AM4" s="111"/>
      <c r="AN4" s="107"/>
      <c r="AO4" s="108"/>
      <c r="AP4" s="109"/>
      <c r="AQ4" s="110"/>
      <c r="AR4" s="108"/>
      <c r="AS4" s="109"/>
      <c r="AT4" s="110"/>
      <c r="AU4" s="108"/>
      <c r="AV4" s="109"/>
      <c r="AW4" s="110"/>
      <c r="AX4" s="108"/>
      <c r="AY4" s="111"/>
      <c r="AZ4" s="107"/>
      <c r="BA4" s="108"/>
      <c r="BB4" s="109"/>
      <c r="BC4" s="110"/>
      <c r="BD4" s="108"/>
      <c r="BE4" s="109"/>
      <c r="BF4" s="110"/>
      <c r="BG4" s="108"/>
      <c r="BH4" s="109"/>
      <c r="BI4" s="110"/>
      <c r="BJ4" s="108"/>
      <c r="BK4" s="111"/>
    </row>
    <row r="5" spans="1:63" ht="19.5" customHeight="1" x14ac:dyDescent="0.25">
      <c r="B5" s="120" t="str">
        <f>Donnees!$C$21</f>
        <v>Rapport - JT</v>
      </c>
      <c r="C5" s="91">
        <v>0</v>
      </c>
      <c r="D5" s="102"/>
      <c r="E5" s="103"/>
      <c r="F5" s="104"/>
      <c r="G5" s="105"/>
      <c r="H5" s="103"/>
      <c r="I5" s="104"/>
      <c r="J5" s="105"/>
      <c r="K5" s="103"/>
      <c r="L5" s="104"/>
      <c r="M5" s="105"/>
      <c r="N5" s="103"/>
      <c r="O5" s="106"/>
      <c r="P5" s="102"/>
      <c r="Q5" s="103"/>
      <c r="R5" s="104"/>
      <c r="S5" s="105"/>
      <c r="T5" s="103"/>
      <c r="U5" s="104"/>
      <c r="V5" s="105"/>
      <c r="W5" s="103"/>
      <c r="X5" s="104"/>
      <c r="Y5" s="105"/>
      <c r="Z5" s="103"/>
      <c r="AA5" s="106"/>
      <c r="AB5" s="102"/>
      <c r="AC5" s="103"/>
      <c r="AD5" s="104"/>
      <c r="AE5" s="105"/>
      <c r="AF5" s="103"/>
      <c r="AG5" s="104"/>
      <c r="AH5" s="105"/>
      <c r="AI5" s="103"/>
      <c r="AJ5" s="104"/>
      <c r="AK5" s="105"/>
      <c r="AL5" s="103"/>
      <c r="AM5" s="106"/>
      <c r="AN5" s="102"/>
      <c r="AO5" s="103"/>
      <c r="AP5" s="104"/>
      <c r="AQ5" s="105"/>
      <c r="AR5" s="103"/>
      <c r="AS5" s="104"/>
      <c r="AT5" s="105"/>
      <c r="AU5" s="103"/>
      <c r="AV5" s="104"/>
      <c r="AW5" s="105"/>
      <c r="AX5" s="103"/>
      <c r="AY5" s="106"/>
      <c r="AZ5" s="102"/>
      <c r="BA5" s="103"/>
      <c r="BB5" s="104"/>
      <c r="BC5" s="105"/>
      <c r="BD5" s="103"/>
      <c r="BE5" s="104"/>
      <c r="BF5" s="105"/>
      <c r="BG5" s="103"/>
      <c r="BH5" s="104"/>
      <c r="BI5" s="105"/>
      <c r="BJ5" s="103"/>
      <c r="BK5" s="106"/>
    </row>
    <row r="6" spans="1:63" ht="19.5" customHeight="1" thickBot="1" x14ac:dyDescent="0.3">
      <c r="B6" s="121"/>
      <c r="C6" s="92">
        <v>0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11"/>
      <c r="P6" s="107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11"/>
      <c r="AB6" s="107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11"/>
      <c r="AN6" s="107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11"/>
      <c r="AZ6" s="107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11"/>
    </row>
    <row r="7" spans="1:63" ht="19.5" customHeight="1" x14ac:dyDescent="0.25">
      <c r="B7" s="120" t="str">
        <f>Donnees!$C$24</f>
        <v>Recherches</v>
      </c>
      <c r="C7" s="91">
        <v>0</v>
      </c>
      <c r="D7" s="102"/>
      <c r="E7" s="103"/>
      <c r="F7" s="104"/>
      <c r="G7" s="105"/>
      <c r="H7" s="103"/>
      <c r="I7" s="104"/>
      <c r="J7" s="105"/>
      <c r="K7" s="103"/>
      <c r="L7" s="104"/>
      <c r="M7" s="105"/>
      <c r="N7" s="103"/>
      <c r="O7" s="106"/>
      <c r="P7" s="102"/>
      <c r="Q7" s="103"/>
      <c r="R7" s="104"/>
      <c r="S7" s="105"/>
      <c r="T7" s="103"/>
      <c r="U7" s="104"/>
      <c r="V7" s="105"/>
      <c r="W7" s="103"/>
      <c r="X7" s="104"/>
      <c r="Y7" s="105"/>
      <c r="Z7" s="103"/>
      <c r="AA7" s="106"/>
      <c r="AB7" s="102"/>
      <c r="AC7" s="103"/>
      <c r="AD7" s="104"/>
      <c r="AE7" s="105"/>
      <c r="AF7" s="103"/>
      <c r="AG7" s="104"/>
      <c r="AH7" s="105"/>
      <c r="AI7" s="103"/>
      <c r="AJ7" s="104"/>
      <c r="AK7" s="105"/>
      <c r="AL7" s="103"/>
      <c r="AM7" s="106"/>
      <c r="AN7" s="102"/>
      <c r="AO7" s="103"/>
      <c r="AP7" s="104"/>
      <c r="AQ7" s="105"/>
      <c r="AR7" s="103"/>
      <c r="AS7" s="104"/>
      <c r="AT7" s="105"/>
      <c r="AU7" s="103"/>
      <c r="AV7" s="104"/>
      <c r="AW7" s="105"/>
      <c r="AX7" s="103"/>
      <c r="AY7" s="106"/>
      <c r="AZ7" s="102"/>
      <c r="BA7" s="103"/>
      <c r="BB7" s="104"/>
      <c r="BC7" s="105"/>
      <c r="BD7" s="103"/>
      <c r="BE7" s="104"/>
      <c r="BF7" s="105"/>
      <c r="BG7" s="103"/>
      <c r="BH7" s="104"/>
      <c r="BI7" s="105"/>
      <c r="BJ7" s="103"/>
      <c r="BK7" s="106"/>
    </row>
    <row r="8" spans="1:63" ht="19.5" customHeight="1" thickBot="1" x14ac:dyDescent="0.3">
      <c r="B8" s="121"/>
      <c r="C8" s="92">
        <v>0</v>
      </c>
      <c r="D8" s="107"/>
      <c r="E8" s="108"/>
      <c r="F8" s="109"/>
      <c r="G8" s="110"/>
      <c r="H8" s="108"/>
      <c r="I8" s="109"/>
      <c r="J8" s="110"/>
      <c r="K8" s="108"/>
      <c r="L8" s="109"/>
      <c r="M8" s="110"/>
      <c r="N8" s="108"/>
      <c r="O8" s="111"/>
      <c r="P8" s="107"/>
      <c r="Q8" s="108"/>
      <c r="R8" s="109"/>
      <c r="S8" s="110"/>
      <c r="T8" s="108"/>
      <c r="U8" s="109"/>
      <c r="V8" s="110"/>
      <c r="W8" s="108"/>
      <c r="X8" s="109"/>
      <c r="Y8" s="110"/>
      <c r="Z8" s="108"/>
      <c r="AA8" s="111"/>
      <c r="AB8" s="107"/>
      <c r="AC8" s="108"/>
      <c r="AD8" s="109"/>
      <c r="AE8" s="110"/>
      <c r="AF8" s="108"/>
      <c r="AG8" s="109"/>
      <c r="AH8" s="110"/>
      <c r="AI8" s="108"/>
      <c r="AJ8" s="109"/>
      <c r="AK8" s="110"/>
      <c r="AL8" s="108"/>
      <c r="AM8" s="111"/>
      <c r="AN8" s="107"/>
      <c r="AO8" s="108"/>
      <c r="AP8" s="109"/>
      <c r="AQ8" s="110"/>
      <c r="AR8" s="108"/>
      <c r="AS8" s="109"/>
      <c r="AT8" s="110"/>
      <c r="AU8" s="108"/>
      <c r="AV8" s="109"/>
      <c r="AW8" s="110"/>
      <c r="AX8" s="108"/>
      <c r="AY8" s="111"/>
      <c r="AZ8" s="107"/>
      <c r="BA8" s="108"/>
      <c r="BB8" s="109"/>
      <c r="BC8" s="110"/>
      <c r="BD8" s="108"/>
      <c r="BE8" s="109"/>
      <c r="BF8" s="110"/>
      <c r="BG8" s="108"/>
      <c r="BH8" s="109"/>
      <c r="BI8" s="110"/>
      <c r="BJ8" s="108"/>
      <c r="BK8" s="111"/>
    </row>
    <row r="9" spans="1:63" ht="19.5" customHeight="1" x14ac:dyDescent="0.25">
      <c r="B9" s="120" t="str">
        <f>Donnees!$C$25</f>
        <v>Création des VMs Windows 10</v>
      </c>
      <c r="C9" s="91">
        <v>0</v>
      </c>
      <c r="D9" s="102"/>
      <c r="E9" s="103"/>
      <c r="F9" s="104"/>
      <c r="G9" s="105"/>
      <c r="H9" s="103"/>
      <c r="I9" s="104"/>
      <c r="J9" s="105"/>
      <c r="K9" s="103"/>
      <c r="L9" s="104"/>
      <c r="M9" s="105"/>
      <c r="N9" s="103"/>
      <c r="O9" s="106"/>
      <c r="P9" s="102"/>
      <c r="Q9" s="103"/>
      <c r="R9" s="104"/>
      <c r="S9" s="105"/>
      <c r="T9" s="103"/>
      <c r="U9" s="104"/>
      <c r="V9" s="105"/>
      <c r="W9" s="103"/>
      <c r="X9" s="104"/>
      <c r="Y9" s="105"/>
      <c r="Z9" s="103"/>
      <c r="AA9" s="106"/>
      <c r="AB9" s="102"/>
      <c r="AC9" s="103"/>
      <c r="AD9" s="104"/>
      <c r="AE9" s="105"/>
      <c r="AF9" s="103"/>
      <c r="AG9" s="104"/>
      <c r="AH9" s="105"/>
      <c r="AI9" s="103"/>
      <c r="AJ9" s="104"/>
      <c r="AK9" s="105"/>
      <c r="AL9" s="103"/>
      <c r="AM9" s="106"/>
      <c r="AN9" s="102"/>
      <c r="AO9" s="103"/>
      <c r="AP9" s="104"/>
      <c r="AQ9" s="105"/>
      <c r="AR9" s="103"/>
      <c r="AS9" s="104"/>
      <c r="AT9" s="105"/>
      <c r="AU9" s="103"/>
      <c r="AV9" s="104"/>
      <c r="AW9" s="105"/>
      <c r="AX9" s="103"/>
      <c r="AY9" s="106"/>
      <c r="AZ9" s="102"/>
      <c r="BA9" s="103"/>
      <c r="BB9" s="104"/>
      <c r="BC9" s="105"/>
      <c r="BD9" s="103"/>
      <c r="BE9" s="104"/>
      <c r="BF9" s="105"/>
      <c r="BG9" s="103"/>
      <c r="BH9" s="104"/>
      <c r="BI9" s="105"/>
      <c r="BJ9" s="103"/>
      <c r="BK9" s="106"/>
    </row>
    <row r="10" spans="1:63" ht="19.5" customHeight="1" thickBot="1" x14ac:dyDescent="0.3">
      <c r="B10" s="121"/>
      <c r="C10" s="92">
        <v>0</v>
      </c>
      <c r="D10" s="107"/>
      <c r="E10" s="108"/>
      <c r="F10" s="109"/>
      <c r="G10" s="110"/>
      <c r="H10" s="108"/>
      <c r="I10" s="109"/>
      <c r="J10" s="110"/>
      <c r="K10" s="108"/>
      <c r="L10" s="109"/>
      <c r="M10" s="110"/>
      <c r="N10" s="108"/>
      <c r="O10" s="111"/>
      <c r="P10" s="107"/>
      <c r="Q10" s="108"/>
      <c r="R10" s="109"/>
      <c r="S10" s="110"/>
      <c r="T10" s="108"/>
      <c r="U10" s="109"/>
      <c r="V10" s="110"/>
      <c r="W10" s="108"/>
      <c r="X10" s="109"/>
      <c r="Y10" s="110"/>
      <c r="Z10" s="108"/>
      <c r="AA10" s="111"/>
      <c r="AB10" s="107"/>
      <c r="AC10" s="108"/>
      <c r="AD10" s="109"/>
      <c r="AE10" s="110"/>
      <c r="AF10" s="108"/>
      <c r="AG10" s="109"/>
      <c r="AH10" s="110"/>
      <c r="AI10" s="108"/>
      <c r="AJ10" s="109"/>
      <c r="AK10" s="110"/>
      <c r="AL10" s="108"/>
      <c r="AM10" s="111"/>
      <c r="AN10" s="107"/>
      <c r="AO10" s="108"/>
      <c r="AP10" s="109"/>
      <c r="AQ10" s="110"/>
      <c r="AR10" s="108"/>
      <c r="AS10" s="109"/>
      <c r="AT10" s="110"/>
      <c r="AU10" s="108"/>
      <c r="AV10" s="109"/>
      <c r="AW10" s="110"/>
      <c r="AX10" s="108"/>
      <c r="AY10" s="111"/>
      <c r="AZ10" s="107"/>
      <c r="BA10" s="108"/>
      <c r="BB10" s="109"/>
      <c r="BC10" s="110"/>
      <c r="BD10" s="108"/>
      <c r="BE10" s="109"/>
      <c r="BF10" s="110"/>
      <c r="BG10" s="108"/>
      <c r="BH10" s="109"/>
      <c r="BI10" s="110"/>
      <c r="BJ10" s="108"/>
      <c r="BK10" s="111"/>
    </row>
    <row r="11" spans="1:63" ht="19.5" customHeight="1" x14ac:dyDescent="0.25">
      <c r="B11" s="120" t="str">
        <f>Donnees!$C$26</f>
        <v>Connexion des VMs au switch</v>
      </c>
      <c r="C11" s="91">
        <v>0</v>
      </c>
      <c r="D11" s="102"/>
      <c r="E11" s="103"/>
      <c r="F11" s="104"/>
      <c r="G11" s="105"/>
      <c r="H11" s="103"/>
      <c r="I11" s="104"/>
      <c r="J11" s="105"/>
      <c r="K11" s="103"/>
      <c r="L11" s="104"/>
      <c r="M11" s="105"/>
      <c r="N11" s="103"/>
      <c r="O11" s="106"/>
      <c r="P11" s="102"/>
      <c r="Q11" s="103"/>
      <c r="R11" s="104"/>
      <c r="S11" s="105"/>
      <c r="T11" s="103"/>
      <c r="U11" s="104"/>
      <c r="V11" s="105"/>
      <c r="W11" s="103"/>
      <c r="X11" s="104"/>
      <c r="Y11" s="105"/>
      <c r="Z11" s="103"/>
      <c r="AA11" s="106"/>
      <c r="AB11" s="102"/>
      <c r="AC11" s="103"/>
      <c r="AD11" s="104"/>
      <c r="AE11" s="105"/>
      <c r="AF11" s="103"/>
      <c r="AG11" s="104"/>
      <c r="AH11" s="105"/>
      <c r="AI11" s="103"/>
      <c r="AJ11" s="104"/>
      <c r="AK11" s="105"/>
      <c r="AL11" s="103"/>
      <c r="AM11" s="106"/>
      <c r="AN11" s="102"/>
      <c r="AO11" s="103"/>
      <c r="AP11" s="104"/>
      <c r="AQ11" s="105"/>
      <c r="AR11" s="103"/>
      <c r="AS11" s="104"/>
      <c r="AT11" s="105"/>
      <c r="AU11" s="103"/>
      <c r="AV11" s="104"/>
      <c r="AW11" s="105"/>
      <c r="AX11" s="103"/>
      <c r="AY11" s="106"/>
      <c r="AZ11" s="102"/>
      <c r="BA11" s="103"/>
      <c r="BB11" s="104"/>
      <c r="BC11" s="105"/>
      <c r="BD11" s="103"/>
      <c r="BE11" s="104"/>
      <c r="BF11" s="105"/>
      <c r="BG11" s="103"/>
      <c r="BH11" s="104"/>
      <c r="BI11" s="105"/>
      <c r="BJ11" s="103"/>
      <c r="BK11" s="106"/>
    </row>
    <row r="12" spans="1:63" ht="19.5" customHeight="1" thickBot="1" x14ac:dyDescent="0.3">
      <c r="B12" s="121"/>
      <c r="C12" s="92">
        <v>0</v>
      </c>
      <c r="D12" s="107"/>
      <c r="E12" s="108"/>
      <c r="F12" s="109"/>
      <c r="G12" s="110"/>
      <c r="H12" s="108"/>
      <c r="I12" s="109"/>
      <c r="J12" s="110"/>
      <c r="K12" s="108"/>
      <c r="L12" s="109"/>
      <c r="M12" s="110"/>
      <c r="N12" s="108"/>
      <c r="O12" s="111"/>
      <c r="P12" s="107"/>
      <c r="Q12" s="108"/>
      <c r="R12" s="109"/>
      <c r="S12" s="110"/>
      <c r="T12" s="108"/>
      <c r="U12" s="109"/>
      <c r="V12" s="110"/>
      <c r="W12" s="108"/>
      <c r="X12" s="109"/>
      <c r="Y12" s="110"/>
      <c r="Z12" s="108"/>
      <c r="AA12" s="111"/>
      <c r="AB12" s="107"/>
      <c r="AC12" s="108"/>
      <c r="AD12" s="109"/>
      <c r="AE12" s="110"/>
      <c r="AF12" s="108"/>
      <c r="AG12" s="109"/>
      <c r="AH12" s="110"/>
      <c r="AI12" s="108"/>
      <c r="AJ12" s="109"/>
      <c r="AK12" s="110"/>
      <c r="AL12" s="108"/>
      <c r="AM12" s="111"/>
      <c r="AN12" s="107"/>
      <c r="AO12" s="108"/>
      <c r="AP12" s="109"/>
      <c r="AQ12" s="110"/>
      <c r="AR12" s="108"/>
      <c r="AS12" s="109"/>
      <c r="AT12" s="110"/>
      <c r="AU12" s="108"/>
      <c r="AV12" s="109"/>
      <c r="AW12" s="110"/>
      <c r="AX12" s="108"/>
      <c r="AY12" s="111"/>
      <c r="AZ12" s="107"/>
      <c r="BA12" s="108"/>
      <c r="BB12" s="109"/>
      <c r="BC12" s="110"/>
      <c r="BD12" s="108"/>
      <c r="BE12" s="109"/>
      <c r="BF12" s="110"/>
      <c r="BG12" s="108"/>
      <c r="BH12" s="109"/>
      <c r="BI12" s="110"/>
      <c r="BJ12" s="108"/>
      <c r="BK12" s="111"/>
    </row>
    <row r="13" spans="1:63" ht="19.5" customHeight="1" x14ac:dyDescent="0.25">
      <c r="B13" s="120" t="str">
        <f>Donnees!$C$27</f>
        <v>Création des VLANs</v>
      </c>
      <c r="C13" s="91">
        <v>0</v>
      </c>
      <c r="D13" s="102"/>
      <c r="E13" s="103"/>
      <c r="F13" s="104"/>
      <c r="G13" s="105"/>
      <c r="H13" s="103"/>
      <c r="I13" s="104"/>
      <c r="J13" s="105"/>
      <c r="K13" s="103"/>
      <c r="L13" s="104"/>
      <c r="M13" s="105"/>
      <c r="N13" s="103"/>
      <c r="O13" s="106"/>
      <c r="P13" s="102"/>
      <c r="Q13" s="103"/>
      <c r="R13" s="104"/>
      <c r="S13" s="105"/>
      <c r="T13" s="103"/>
      <c r="U13" s="104"/>
      <c r="V13" s="105"/>
      <c r="W13" s="103"/>
      <c r="X13" s="104"/>
      <c r="Y13" s="105"/>
      <c r="Z13" s="103"/>
      <c r="AA13" s="106"/>
      <c r="AB13" s="102"/>
      <c r="AC13" s="103"/>
      <c r="AD13" s="104"/>
      <c r="AE13" s="105"/>
      <c r="AF13" s="103"/>
      <c r="AG13" s="104"/>
      <c r="AH13" s="105"/>
      <c r="AI13" s="103"/>
      <c r="AJ13" s="104"/>
      <c r="AK13" s="105"/>
      <c r="AL13" s="103"/>
      <c r="AM13" s="106"/>
      <c r="AN13" s="102"/>
      <c r="AO13" s="103"/>
      <c r="AP13" s="104"/>
      <c r="AQ13" s="105"/>
      <c r="AR13" s="103"/>
      <c r="AS13" s="104"/>
      <c r="AT13" s="105"/>
      <c r="AU13" s="103"/>
      <c r="AV13" s="104"/>
      <c r="AW13" s="105"/>
      <c r="AX13" s="103"/>
      <c r="AY13" s="106"/>
      <c r="AZ13" s="102"/>
      <c r="BA13" s="103"/>
      <c r="BB13" s="104"/>
      <c r="BC13" s="105"/>
      <c r="BD13" s="103"/>
      <c r="BE13" s="104"/>
      <c r="BF13" s="105"/>
      <c r="BG13" s="103"/>
      <c r="BH13" s="104"/>
      <c r="BI13" s="105"/>
      <c r="BJ13" s="103"/>
      <c r="BK13" s="106"/>
    </row>
    <row r="14" spans="1:63" ht="19.5" customHeight="1" thickBot="1" x14ac:dyDescent="0.3">
      <c r="B14" s="121"/>
      <c r="C14" s="92">
        <v>0</v>
      </c>
      <c r="D14" s="107"/>
      <c r="E14" s="108"/>
      <c r="F14" s="109"/>
      <c r="G14" s="110"/>
      <c r="H14" s="108"/>
      <c r="I14" s="109"/>
      <c r="J14" s="110"/>
      <c r="K14" s="108"/>
      <c r="L14" s="109"/>
      <c r="M14" s="110"/>
      <c r="N14" s="108"/>
      <c r="O14" s="111"/>
      <c r="P14" s="107"/>
      <c r="Q14" s="108"/>
      <c r="R14" s="109"/>
      <c r="S14" s="110"/>
      <c r="T14" s="108"/>
      <c r="U14" s="109"/>
      <c r="V14" s="110"/>
      <c r="W14" s="108"/>
      <c r="X14" s="109"/>
      <c r="Y14" s="110"/>
      <c r="Z14" s="108"/>
      <c r="AA14" s="111"/>
      <c r="AB14" s="107"/>
      <c r="AC14" s="108"/>
      <c r="AD14" s="109"/>
      <c r="AE14" s="110"/>
      <c r="AF14" s="108"/>
      <c r="AG14" s="109"/>
      <c r="AH14" s="110"/>
      <c r="AI14" s="108"/>
      <c r="AJ14" s="109"/>
      <c r="AK14" s="110"/>
      <c r="AL14" s="108"/>
      <c r="AM14" s="111"/>
      <c r="AN14" s="107"/>
      <c r="AO14" s="108"/>
      <c r="AP14" s="109"/>
      <c r="AQ14" s="110"/>
      <c r="AR14" s="108"/>
      <c r="AS14" s="109"/>
      <c r="AT14" s="110"/>
      <c r="AU14" s="108"/>
      <c r="AV14" s="109"/>
      <c r="AW14" s="110"/>
      <c r="AX14" s="108"/>
      <c r="AY14" s="111"/>
      <c r="AZ14" s="107"/>
      <c r="BA14" s="108"/>
      <c r="BB14" s="109"/>
      <c r="BC14" s="110"/>
      <c r="BD14" s="108"/>
      <c r="BE14" s="109"/>
      <c r="BF14" s="110"/>
      <c r="BG14" s="108"/>
      <c r="BH14" s="109"/>
      <c r="BI14" s="110"/>
      <c r="BJ14" s="108"/>
      <c r="BK14" s="111"/>
    </row>
    <row r="15" spans="1:63" ht="19.5" customHeight="1" x14ac:dyDescent="0.25">
      <c r="B15" s="120" t="str">
        <f>Donnees!$C$28</f>
        <v>Configuration des VLANs</v>
      </c>
      <c r="C15" s="91">
        <v>0</v>
      </c>
      <c r="D15" s="102"/>
      <c r="E15" s="103"/>
      <c r="F15" s="104"/>
      <c r="G15" s="105"/>
      <c r="H15" s="103"/>
      <c r="I15" s="104"/>
      <c r="J15" s="105"/>
      <c r="K15" s="103"/>
      <c r="L15" s="104"/>
      <c r="M15" s="105"/>
      <c r="N15" s="103"/>
      <c r="O15" s="106"/>
      <c r="P15" s="102"/>
      <c r="Q15" s="103"/>
      <c r="R15" s="104"/>
      <c r="S15" s="105"/>
      <c r="T15" s="103"/>
      <c r="U15" s="104"/>
      <c r="V15" s="105"/>
      <c r="W15" s="103"/>
      <c r="X15" s="104"/>
      <c r="Y15" s="105"/>
      <c r="Z15" s="103"/>
      <c r="AA15" s="106"/>
      <c r="AB15" s="102"/>
      <c r="AC15" s="103"/>
      <c r="AD15" s="104"/>
      <c r="AE15" s="105"/>
      <c r="AF15" s="103"/>
      <c r="AG15" s="104"/>
      <c r="AH15" s="105"/>
      <c r="AI15" s="103"/>
      <c r="AJ15" s="104"/>
      <c r="AK15" s="105"/>
      <c r="AL15" s="103"/>
      <c r="AM15" s="106"/>
      <c r="AN15" s="102"/>
      <c r="AO15" s="103"/>
      <c r="AP15" s="104"/>
      <c r="AQ15" s="105"/>
      <c r="AR15" s="103"/>
      <c r="AS15" s="104"/>
      <c r="AT15" s="105"/>
      <c r="AU15" s="103"/>
      <c r="AV15" s="104"/>
      <c r="AW15" s="105"/>
      <c r="AX15" s="103"/>
      <c r="AY15" s="106"/>
      <c r="AZ15" s="102"/>
      <c r="BA15" s="103"/>
      <c r="BB15" s="104"/>
      <c r="BC15" s="105"/>
      <c r="BD15" s="103"/>
      <c r="BE15" s="104"/>
      <c r="BF15" s="105"/>
      <c r="BG15" s="103"/>
      <c r="BH15" s="104"/>
      <c r="BI15" s="105"/>
      <c r="BJ15" s="103"/>
      <c r="BK15" s="106"/>
    </row>
    <row r="16" spans="1:63" ht="19.5" customHeight="1" thickBot="1" x14ac:dyDescent="0.3">
      <c r="A16" s="93"/>
      <c r="B16" s="121"/>
      <c r="C16" s="92">
        <v>0</v>
      </c>
      <c r="D16" s="107"/>
      <c r="E16" s="108"/>
      <c r="F16" s="109"/>
      <c r="G16" s="110"/>
      <c r="H16" s="108"/>
      <c r="I16" s="109"/>
      <c r="J16" s="110"/>
      <c r="K16" s="108"/>
      <c r="L16" s="109"/>
      <c r="M16" s="110"/>
      <c r="N16" s="108"/>
      <c r="O16" s="111"/>
      <c r="P16" s="107"/>
      <c r="Q16" s="108"/>
      <c r="R16" s="109"/>
      <c r="S16" s="110"/>
      <c r="T16" s="108"/>
      <c r="U16" s="109"/>
      <c r="V16" s="110"/>
      <c r="W16" s="108"/>
      <c r="X16" s="109"/>
      <c r="Y16" s="110"/>
      <c r="Z16" s="108"/>
      <c r="AA16" s="111"/>
      <c r="AB16" s="107"/>
      <c r="AC16" s="108"/>
      <c r="AD16" s="109"/>
      <c r="AE16" s="110"/>
      <c r="AF16" s="108"/>
      <c r="AG16" s="109"/>
      <c r="AH16" s="110"/>
      <c r="AI16" s="108"/>
      <c r="AJ16" s="109"/>
      <c r="AK16" s="110"/>
      <c r="AL16" s="108"/>
      <c r="AM16" s="111"/>
      <c r="AN16" s="107"/>
      <c r="AO16" s="108"/>
      <c r="AP16" s="109"/>
      <c r="AQ16" s="110"/>
      <c r="AR16" s="108"/>
      <c r="AS16" s="109"/>
      <c r="AT16" s="110"/>
      <c r="AU16" s="108"/>
      <c r="AV16" s="109"/>
      <c r="AW16" s="110"/>
      <c r="AX16" s="108"/>
      <c r="AY16" s="111"/>
      <c r="AZ16" s="107"/>
      <c r="BA16" s="108"/>
      <c r="BB16" s="109"/>
      <c r="BC16" s="110"/>
      <c r="BD16" s="108"/>
      <c r="BE16" s="109"/>
      <c r="BF16" s="110"/>
      <c r="BG16" s="108"/>
      <c r="BH16" s="109"/>
      <c r="BI16" s="110"/>
      <c r="BJ16" s="108"/>
      <c r="BK16" s="111"/>
    </row>
    <row r="17" spans="2:63" ht="19.5" customHeight="1" x14ac:dyDescent="0.25">
      <c r="B17" s="120" t="str">
        <f>Donnees!$C$29</f>
        <v>Tests</v>
      </c>
      <c r="C17" s="91">
        <v>0</v>
      </c>
      <c r="D17" s="102"/>
      <c r="E17" s="103"/>
      <c r="F17" s="104"/>
      <c r="G17" s="105"/>
      <c r="H17" s="103"/>
      <c r="I17" s="104"/>
      <c r="J17" s="105"/>
      <c r="K17" s="103"/>
      <c r="L17" s="104"/>
      <c r="M17" s="105"/>
      <c r="N17" s="103"/>
      <c r="O17" s="106"/>
      <c r="P17" s="102"/>
      <c r="Q17" s="103"/>
      <c r="R17" s="104"/>
      <c r="S17" s="105"/>
      <c r="T17" s="103"/>
      <c r="U17" s="104"/>
      <c r="V17" s="105"/>
      <c r="W17" s="103"/>
      <c r="X17" s="104"/>
      <c r="Y17" s="105"/>
      <c r="Z17" s="103"/>
      <c r="AA17" s="106"/>
      <c r="AB17" s="102"/>
      <c r="AC17" s="103"/>
      <c r="AD17" s="104"/>
      <c r="AE17" s="105"/>
      <c r="AF17" s="103"/>
      <c r="AG17" s="104"/>
      <c r="AH17" s="105"/>
      <c r="AI17" s="103"/>
      <c r="AJ17" s="104"/>
      <c r="AK17" s="105"/>
      <c r="AL17" s="103"/>
      <c r="AM17" s="106"/>
      <c r="AN17" s="102"/>
      <c r="AO17" s="103"/>
      <c r="AP17" s="104"/>
      <c r="AQ17" s="105"/>
      <c r="AR17" s="103"/>
      <c r="AS17" s="104"/>
      <c r="AT17" s="105"/>
      <c r="AU17" s="103"/>
      <c r="AV17" s="104"/>
      <c r="AW17" s="105"/>
      <c r="AX17" s="103"/>
      <c r="AY17" s="106"/>
      <c r="AZ17" s="102"/>
      <c r="BA17" s="103"/>
      <c r="BB17" s="104"/>
      <c r="BC17" s="105"/>
      <c r="BD17" s="103"/>
      <c r="BE17" s="104"/>
      <c r="BF17" s="105"/>
      <c r="BG17" s="103"/>
      <c r="BH17" s="104"/>
      <c r="BI17" s="105"/>
      <c r="BJ17" s="103"/>
      <c r="BK17" s="106"/>
    </row>
    <row r="18" spans="2:63" ht="19.5" customHeight="1" thickBot="1" x14ac:dyDescent="0.3">
      <c r="B18" s="121"/>
      <c r="C18" s="92">
        <v>0</v>
      </c>
      <c r="D18" s="107"/>
      <c r="E18" s="108"/>
      <c r="F18" s="109"/>
      <c r="G18" s="110"/>
      <c r="H18" s="108"/>
      <c r="I18" s="109"/>
      <c r="J18" s="110"/>
      <c r="K18" s="108"/>
      <c r="L18" s="109"/>
      <c r="M18" s="110"/>
      <c r="N18" s="108"/>
      <c r="O18" s="111"/>
      <c r="P18" s="107"/>
      <c r="Q18" s="108"/>
      <c r="R18" s="109"/>
      <c r="S18" s="110"/>
      <c r="T18" s="108"/>
      <c r="U18" s="109"/>
      <c r="V18" s="110"/>
      <c r="W18" s="108"/>
      <c r="X18" s="109"/>
      <c r="Y18" s="110"/>
      <c r="Z18" s="108"/>
      <c r="AA18" s="111"/>
      <c r="AB18" s="107"/>
      <c r="AC18" s="108"/>
      <c r="AD18" s="109"/>
      <c r="AE18" s="110"/>
      <c r="AF18" s="108"/>
      <c r="AG18" s="109"/>
      <c r="AH18" s="110"/>
      <c r="AI18" s="108"/>
      <c r="AJ18" s="109"/>
      <c r="AK18" s="110"/>
      <c r="AL18" s="108"/>
      <c r="AM18" s="111"/>
      <c r="AN18" s="107"/>
      <c r="AO18" s="108"/>
      <c r="AP18" s="109"/>
      <c r="AQ18" s="110"/>
      <c r="AR18" s="108"/>
      <c r="AS18" s="109"/>
      <c r="AT18" s="110"/>
      <c r="AU18" s="108"/>
      <c r="AV18" s="109"/>
      <c r="AW18" s="110"/>
      <c r="AX18" s="108"/>
      <c r="AY18" s="111"/>
      <c r="AZ18" s="107"/>
      <c r="BA18" s="108"/>
      <c r="BB18" s="109"/>
      <c r="BC18" s="110"/>
      <c r="BD18" s="108"/>
      <c r="BE18" s="109"/>
      <c r="BF18" s="110"/>
      <c r="BG18" s="108"/>
      <c r="BH18" s="109"/>
      <c r="BI18" s="110"/>
      <c r="BJ18" s="108"/>
      <c r="BK18" s="111"/>
    </row>
    <row r="19" spans="2:63" ht="19.5" customHeight="1" x14ac:dyDescent="0.25">
      <c r="B19" s="120" t="str">
        <f>Donnees!$C$30</f>
        <v>Présentation</v>
      </c>
      <c r="C19" s="91">
        <v>0</v>
      </c>
      <c r="D19" s="102"/>
      <c r="E19" s="103"/>
      <c r="F19" s="104"/>
      <c r="G19" s="105"/>
      <c r="H19" s="103"/>
      <c r="I19" s="104"/>
      <c r="J19" s="105"/>
      <c r="K19" s="103"/>
      <c r="L19" s="104"/>
      <c r="M19" s="105"/>
      <c r="N19" s="103"/>
      <c r="O19" s="106"/>
      <c r="P19" s="102"/>
      <c r="Q19" s="103"/>
      <c r="R19" s="104"/>
      <c r="S19" s="105"/>
      <c r="T19" s="103"/>
      <c r="U19" s="104"/>
      <c r="V19" s="105"/>
      <c r="W19" s="103"/>
      <c r="X19" s="104"/>
      <c r="Y19" s="105"/>
      <c r="Z19" s="103"/>
      <c r="AA19" s="106"/>
      <c r="AB19" s="102"/>
      <c r="AC19" s="103"/>
      <c r="AD19" s="104"/>
      <c r="AE19" s="105"/>
      <c r="AF19" s="103"/>
      <c r="AG19" s="104"/>
      <c r="AH19" s="105"/>
      <c r="AI19" s="103"/>
      <c r="AJ19" s="104"/>
      <c r="AK19" s="105"/>
      <c r="AL19" s="103"/>
      <c r="AM19" s="106"/>
      <c r="AN19" s="102"/>
      <c r="AO19" s="103"/>
      <c r="AP19" s="104"/>
      <c r="AQ19" s="105"/>
      <c r="AR19" s="103"/>
      <c r="AS19" s="104"/>
      <c r="AT19" s="105"/>
      <c r="AU19" s="103"/>
      <c r="AV19" s="104"/>
      <c r="AW19" s="105"/>
      <c r="AX19" s="103"/>
      <c r="AY19" s="106"/>
      <c r="AZ19" s="102"/>
      <c r="BA19" s="103"/>
      <c r="BB19" s="104"/>
      <c r="BC19" s="105"/>
      <c r="BD19" s="103"/>
      <c r="BE19" s="104"/>
      <c r="BF19" s="105"/>
      <c r="BG19" s="103"/>
      <c r="BH19" s="104"/>
      <c r="BI19" s="105"/>
      <c r="BJ19" s="103"/>
      <c r="BK19" s="106"/>
    </row>
    <row r="20" spans="2:63" ht="19.5" customHeight="1" x14ac:dyDescent="0.25">
      <c r="B20" s="121"/>
      <c r="C20" s="92">
        <v>0</v>
      </c>
      <c r="D20" s="107"/>
      <c r="E20" s="108"/>
      <c r="F20" s="109"/>
      <c r="G20" s="110"/>
      <c r="H20" s="108"/>
      <c r="I20" s="109"/>
      <c r="J20" s="110"/>
      <c r="K20" s="108"/>
      <c r="L20" s="109"/>
      <c r="M20" s="110"/>
      <c r="N20" s="108"/>
      <c r="O20" s="111"/>
      <c r="P20" s="107"/>
      <c r="Q20" s="108"/>
      <c r="R20" s="109"/>
      <c r="S20" s="110"/>
      <c r="T20" s="108"/>
      <c r="U20" s="109"/>
      <c r="V20" s="110"/>
      <c r="W20" s="108"/>
      <c r="X20" s="109"/>
      <c r="Y20" s="110"/>
      <c r="Z20" s="108"/>
      <c r="AA20" s="111"/>
      <c r="AB20" s="107"/>
      <c r="AC20" s="108"/>
      <c r="AD20" s="109"/>
      <c r="AE20" s="110"/>
      <c r="AF20" s="108"/>
      <c r="AG20" s="109"/>
      <c r="AH20" s="110"/>
      <c r="AI20" s="108"/>
      <c r="AJ20" s="109"/>
      <c r="AK20" s="110"/>
      <c r="AL20" s="108"/>
      <c r="AM20" s="111"/>
      <c r="AN20" s="107"/>
      <c r="AO20" s="108"/>
      <c r="AP20" s="109"/>
      <c r="AQ20" s="110"/>
      <c r="AR20" s="108"/>
      <c r="AS20" s="109"/>
      <c r="AT20" s="110"/>
      <c r="AU20" s="108"/>
      <c r="AV20" s="109"/>
      <c r="AW20" s="110"/>
      <c r="AX20" s="108"/>
      <c r="AY20" s="111"/>
      <c r="AZ20" s="107"/>
      <c r="BA20" s="108"/>
      <c r="BB20" s="109"/>
      <c r="BC20" s="110"/>
      <c r="BD20" s="108"/>
      <c r="BE20" s="109"/>
      <c r="BF20" s="110"/>
      <c r="BG20" s="108"/>
      <c r="BH20" s="109"/>
      <c r="BI20" s="110"/>
      <c r="BJ20" s="108"/>
      <c r="BK20" s="111"/>
    </row>
    <row r="21" spans="2:63" ht="19.5" customHeight="1" x14ac:dyDescent="0.25">
      <c r="B21" s="26" t="s">
        <v>16</v>
      </c>
      <c r="C21" s="28">
        <f>SUM($C$3,$C$5,$C$7,$C$9,$C$11,$C$13,$C$15,$C$17,$C$19)</f>
        <v>0</v>
      </c>
      <c r="D21" s="94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6"/>
      <c r="P21" s="94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6"/>
      <c r="AB21" s="94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6"/>
      <c r="AN21" s="94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6"/>
      <c r="AZ21" s="94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6"/>
    </row>
    <row r="22" spans="2:63" ht="19.5" customHeight="1" thickBot="1" x14ac:dyDescent="0.3">
      <c r="B22" s="27" t="s">
        <v>17</v>
      </c>
      <c r="C22" s="29">
        <f>SUM($C$4,$C$6,$C$8,$C$10,$C$12,$C$14,$C$16,$C$18,$C$20)</f>
        <v>0</v>
      </c>
      <c r="D22" s="97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9"/>
      <c r="P22" s="97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9"/>
      <c r="AB22" s="97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9"/>
      <c r="AN22" s="97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9"/>
      <c r="AZ22" s="97"/>
      <c r="BA22" s="98"/>
      <c r="BB22" s="98"/>
      <c r="BC22" s="98"/>
      <c r="BD22" s="98"/>
      <c r="BE22" s="98"/>
      <c r="BF22" s="98"/>
      <c r="BG22" s="98"/>
      <c r="BH22" s="98"/>
      <c r="BI22" s="98"/>
      <c r="BJ22" s="98"/>
      <c r="BK22" s="99"/>
    </row>
  </sheetData>
  <sheetProtection sheet="1" objects="1" scenarios="1" insertRows="0" selectLockedCells="1"/>
  <mergeCells count="14">
    <mergeCell ref="AN2:AY2"/>
    <mergeCell ref="AZ2:BK2"/>
    <mergeCell ref="B15:B16"/>
    <mergeCell ref="B17:B18"/>
    <mergeCell ref="B19:B20"/>
    <mergeCell ref="D2:O2"/>
    <mergeCell ref="P2:AA2"/>
    <mergeCell ref="AB2:AM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1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4.25" thickBot="1" x14ac:dyDescent="0.3">
      <c r="B1" s="22"/>
      <c r="C1" s="22"/>
    </row>
    <row r="2" spans="1:4" ht="42.75" customHeight="1" thickBot="1" x14ac:dyDescent="0.3">
      <c r="A2" s="20"/>
      <c r="B2" s="24" t="s">
        <v>5</v>
      </c>
      <c r="C2" s="15" t="s">
        <v>18</v>
      </c>
    </row>
    <row r="3" spans="1:4" ht="19.5" customHeight="1" x14ac:dyDescent="0.25">
      <c r="A3" s="20"/>
      <c r="B3" s="122" t="s">
        <v>21</v>
      </c>
      <c r="C3" s="16">
        <v>0</v>
      </c>
    </row>
    <row r="4" spans="1:4" ht="19.5" customHeight="1" x14ac:dyDescent="0.25">
      <c r="A4" s="20"/>
      <c r="B4" s="124"/>
      <c r="C4" s="23">
        <v>0</v>
      </c>
      <c r="D4" s="31"/>
    </row>
    <row r="5" spans="1:4" ht="19.5" customHeight="1" x14ac:dyDescent="0.25">
      <c r="B5" s="21"/>
      <c r="C5" s="21"/>
    </row>
    <row r="14" spans="1:4" ht="19.5" customHeight="1" x14ac:dyDescent="0.25">
      <c r="C14" s="21"/>
    </row>
    <row r="15" spans="1:4" ht="19.5" customHeight="1" x14ac:dyDescent="0.25">
      <c r="C15" s="21"/>
    </row>
    <row r="16" spans="1:4" ht="19.5" customHeight="1" x14ac:dyDescent="0.25">
      <c r="A16" s="43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6" t="s">
        <v>16</v>
      </c>
      <c r="C3" s="28">
        <v>0</v>
      </c>
    </row>
    <row r="4" spans="2:3" ht="18.75" thickBot="1" x14ac:dyDescent="0.3">
      <c r="B4" s="27" t="s">
        <v>17</v>
      </c>
      <c r="C4" s="29">
        <v>0</v>
      </c>
    </row>
    <row r="39" spans="5:5" x14ac:dyDescent="0.25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6" t="s">
        <v>14</v>
      </c>
      <c r="B1" s="7">
        <v>1</v>
      </c>
      <c r="C1" s="17"/>
      <c r="D1" s="19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2"/>
      <c r="B9" s="2"/>
      <c r="C9" s="10"/>
      <c r="D9" s="10"/>
    </row>
    <row r="10" spans="1:4" s="54" customFormat="1" x14ac:dyDescent="0.25">
      <c r="A10" s="2"/>
      <c r="B10" s="2"/>
      <c r="C10" s="10"/>
      <c r="D10" s="10"/>
    </row>
    <row r="11" spans="1:4" s="54" customFormat="1" x14ac:dyDescent="0.25">
      <c r="A11" s="2"/>
      <c r="B11" s="2"/>
      <c r="C11" s="10"/>
      <c r="D11" s="10"/>
    </row>
    <row r="12" spans="1:4" s="54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1"/>
      <c r="B18" s="21"/>
      <c r="C18" s="21"/>
      <c r="D18" s="21"/>
    </row>
    <row r="19" spans="1:9" x14ac:dyDescent="0.25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5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5">
      <c r="A21" s="32"/>
      <c r="B21" s="36"/>
      <c r="C21" s="32"/>
      <c r="D21" s="32"/>
      <c r="E21" s="21"/>
      <c r="F21" s="36"/>
      <c r="G21" s="32"/>
      <c r="H21" s="32"/>
      <c r="I21" s="21"/>
    </row>
    <row r="22" spans="1:9" x14ac:dyDescent="0.25">
      <c r="A22" s="37"/>
      <c r="B22" s="38"/>
      <c r="C22" s="39"/>
      <c r="D22" s="39"/>
      <c r="E22" s="21"/>
      <c r="F22" s="38"/>
      <c r="G22" s="39"/>
      <c r="H22" s="39"/>
      <c r="I22" s="21"/>
    </row>
    <row r="23" spans="1:9" x14ac:dyDescent="0.25">
      <c r="A23" s="37"/>
      <c r="B23" s="38"/>
      <c r="C23" s="39"/>
      <c r="D23" s="39"/>
      <c r="E23" s="21"/>
      <c r="F23" s="38"/>
      <c r="G23" s="39"/>
      <c r="H23" s="39"/>
      <c r="I23" s="21"/>
    </row>
    <row r="24" spans="1:9" x14ac:dyDescent="0.25">
      <c r="A24" s="37"/>
      <c r="B24" s="38"/>
      <c r="C24" s="39"/>
      <c r="D24" s="39"/>
      <c r="E24" s="21"/>
      <c r="F24" s="38"/>
      <c r="G24" s="39"/>
      <c r="H24" s="39"/>
      <c r="I24" s="21"/>
    </row>
    <row r="25" spans="1:9" x14ac:dyDescent="0.25">
      <c r="A25" s="37"/>
      <c r="B25" s="38"/>
      <c r="C25" s="39"/>
      <c r="D25" s="39"/>
      <c r="E25" s="21"/>
      <c r="F25" s="38"/>
      <c r="G25" s="39"/>
      <c r="H25" s="39"/>
      <c r="I25" s="21"/>
    </row>
    <row r="26" spans="1:9" x14ac:dyDescent="0.25">
      <c r="A26" s="38"/>
      <c r="B26" s="38"/>
      <c r="C26" s="39"/>
      <c r="D26" s="39"/>
      <c r="E26" s="21"/>
      <c r="F26" s="38"/>
      <c r="G26" s="39"/>
      <c r="H26" s="39"/>
      <c r="I26" s="21"/>
    </row>
    <row r="27" spans="1:9" x14ac:dyDescent="0.25">
      <c r="A27" s="38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8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8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5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5">
      <c r="E33" s="21"/>
      <c r="F33" s="21"/>
      <c r="G33" s="21"/>
      <c r="H33" s="21"/>
      <c r="I33" s="21"/>
    </row>
    <row r="34" spans="5:9" x14ac:dyDescent="0.25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" sqref="C2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/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5">
      <c r="A23" s="21"/>
      <c r="B23" s="21"/>
      <c r="C23" s="21"/>
      <c r="D23" s="21"/>
    </row>
    <row r="24" spans="1:9" x14ac:dyDescent="0.25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5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5">
      <c r="A26" s="32"/>
      <c r="B26" s="36"/>
      <c r="C26" s="32"/>
      <c r="D26" s="32"/>
      <c r="E26" s="21"/>
      <c r="F26" s="36"/>
      <c r="G26" s="32"/>
      <c r="H26" s="32"/>
      <c r="I26" s="21"/>
    </row>
    <row r="27" spans="1:9" x14ac:dyDescent="0.25">
      <c r="A27" s="37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7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7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37"/>
      <c r="B30" s="38"/>
      <c r="C30" s="39"/>
      <c r="D30" s="39"/>
      <c r="E30" s="21"/>
      <c r="F30" s="38"/>
      <c r="G30" s="39"/>
      <c r="H30" s="39"/>
      <c r="I30" s="21"/>
    </row>
    <row r="31" spans="1:9" x14ac:dyDescent="0.25">
      <c r="A31" s="38"/>
      <c r="B31" s="38"/>
      <c r="C31" s="39"/>
      <c r="D31" s="39"/>
      <c r="E31" s="21"/>
      <c r="F31" s="38"/>
      <c r="G31" s="39"/>
      <c r="H31" s="39"/>
      <c r="I31" s="21"/>
    </row>
    <row r="32" spans="1:9" x14ac:dyDescent="0.25">
      <c r="A32" s="38"/>
      <c r="B32" s="38"/>
      <c r="C32" s="39"/>
      <c r="D32" s="39"/>
      <c r="E32" s="21"/>
      <c r="F32" s="38"/>
      <c r="G32" s="39"/>
      <c r="H32" s="39"/>
      <c r="I32" s="21"/>
    </row>
    <row r="33" spans="1:9" x14ac:dyDescent="0.25">
      <c r="A33" s="38"/>
      <c r="B33" s="38"/>
      <c r="C33" s="39"/>
      <c r="D33" s="39"/>
      <c r="E33" s="21"/>
      <c r="F33" s="38"/>
      <c r="G33" s="39"/>
      <c r="H33" s="39"/>
      <c r="I33" s="21"/>
    </row>
    <row r="34" spans="1:9" x14ac:dyDescent="0.25">
      <c r="A34" s="38"/>
      <c r="B34" s="38"/>
      <c r="C34" s="39"/>
      <c r="D34" s="39"/>
      <c r="E34" s="21"/>
      <c r="F34" s="38"/>
      <c r="G34" s="39"/>
      <c r="H34" s="39"/>
      <c r="I34" s="21"/>
    </row>
    <row r="35" spans="1:9" x14ac:dyDescent="0.25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5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5">
      <c r="E38" s="21"/>
      <c r="F38" s="21"/>
      <c r="G38" s="21"/>
      <c r="H38" s="21"/>
      <c r="I38" s="21"/>
    </row>
    <row r="39" spans="1:9" x14ac:dyDescent="0.25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96"/>
  <sheetViews>
    <sheetView tabSelected="1" topLeftCell="A36" workbookViewId="0">
      <selection activeCell="C43" sqref="C43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>
        <f>Donnees!$C$9</f>
        <v>43504</v>
      </c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ht="27" x14ac:dyDescent="0.25">
      <c r="A3" s="5" t="s">
        <v>21</v>
      </c>
      <c r="B3" s="4">
        <v>5</v>
      </c>
      <c r="C3" s="112" t="s">
        <v>47</v>
      </c>
      <c r="D3" s="9"/>
    </row>
    <row r="4" spans="1:4" s="54" customFormat="1" x14ac:dyDescent="0.25">
      <c r="A4" s="1" t="s">
        <v>44</v>
      </c>
      <c r="B4" s="2">
        <v>1</v>
      </c>
      <c r="C4" s="113" t="s">
        <v>46</v>
      </c>
      <c r="D4" s="114" t="s">
        <v>49</v>
      </c>
    </row>
    <row r="5" spans="1:4" s="54" customFormat="1" ht="27" x14ac:dyDescent="0.25">
      <c r="A5" s="1" t="s">
        <v>33</v>
      </c>
      <c r="B5" s="2">
        <v>5</v>
      </c>
      <c r="C5" s="113" t="s">
        <v>45</v>
      </c>
      <c r="D5" s="114"/>
    </row>
    <row r="6" spans="1:4" s="54" customFormat="1" ht="27" x14ac:dyDescent="0.25">
      <c r="A6" s="1"/>
      <c r="B6" s="2">
        <v>1</v>
      </c>
      <c r="C6" s="113" t="s">
        <v>50</v>
      </c>
      <c r="D6" s="114" t="s">
        <v>48</v>
      </c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12</v>
      </c>
      <c r="C18" s="101" t="s">
        <v>30</v>
      </c>
      <c r="D18" s="50"/>
    </row>
    <row r="19" spans="1:9" ht="15" thickBot="1" x14ac:dyDescent="0.35">
      <c r="A19" s="51"/>
      <c r="B19" s="51"/>
      <c r="C19" s="51"/>
      <c r="D19" s="51"/>
    </row>
    <row r="20" spans="1:9" ht="18.75" thickBot="1" x14ac:dyDescent="0.3">
      <c r="A20" s="44" t="s">
        <v>14</v>
      </c>
      <c r="B20" s="45">
        <v>2</v>
      </c>
      <c r="C20" s="46" t="s">
        <v>23</v>
      </c>
      <c r="D20" s="55">
        <f>$D$1+7</f>
        <v>43511</v>
      </c>
    </row>
    <row r="21" spans="1:9" ht="27.75" thickBot="1" x14ac:dyDescent="0.3">
      <c r="A21" s="47" t="s">
        <v>3</v>
      </c>
      <c r="B21" s="48" t="s">
        <v>15</v>
      </c>
      <c r="C21" s="47" t="s">
        <v>7</v>
      </c>
      <c r="D21" s="47" t="s">
        <v>13</v>
      </c>
    </row>
    <row r="22" spans="1:9" x14ac:dyDescent="0.25">
      <c r="A22" s="5" t="s">
        <v>34</v>
      </c>
      <c r="B22" s="4">
        <v>12</v>
      </c>
      <c r="C22" s="112" t="s">
        <v>51</v>
      </c>
      <c r="D22" s="9"/>
    </row>
    <row r="23" spans="1:9" x14ac:dyDescent="0.25">
      <c r="A23" s="1" t="s">
        <v>33</v>
      </c>
      <c r="B23" s="2">
        <v>1</v>
      </c>
      <c r="C23" s="113" t="s">
        <v>52</v>
      </c>
      <c r="D23" s="10"/>
    </row>
    <row r="24" spans="1:9" x14ac:dyDescent="0.25">
      <c r="A24" s="1"/>
      <c r="B24" s="2"/>
      <c r="C24" s="10"/>
      <c r="D24" s="10"/>
      <c r="E24" s="21"/>
      <c r="F24" s="21"/>
      <c r="G24" s="21"/>
      <c r="H24" s="21"/>
      <c r="I24" s="21"/>
    </row>
    <row r="25" spans="1:9" ht="12.75" customHeight="1" x14ac:dyDescent="0.25">
      <c r="A25" s="1"/>
      <c r="B25" s="2"/>
      <c r="C25" s="10"/>
      <c r="D25" s="10"/>
      <c r="E25" s="21"/>
      <c r="F25" s="33"/>
      <c r="G25" s="34"/>
      <c r="H25" s="35"/>
      <c r="I25" s="21"/>
    </row>
    <row r="26" spans="1:9" ht="15" x14ac:dyDescent="0.25">
      <c r="A26" s="1"/>
      <c r="B26" s="2"/>
      <c r="C26" s="10"/>
      <c r="D26" s="10"/>
      <c r="E26" s="21"/>
      <c r="F26" s="36"/>
      <c r="G26" s="32"/>
      <c r="H26" s="32"/>
      <c r="I26" s="21"/>
    </row>
    <row r="27" spans="1:9" x14ac:dyDescent="0.25">
      <c r="A27" s="1"/>
      <c r="B27" s="2"/>
      <c r="C27" s="10"/>
      <c r="D27" s="10"/>
      <c r="E27" s="21"/>
      <c r="F27" s="38"/>
      <c r="G27" s="39"/>
      <c r="H27" s="39"/>
      <c r="I27" s="21"/>
    </row>
    <row r="28" spans="1:9" x14ac:dyDescent="0.25">
      <c r="A28" s="1"/>
      <c r="B28" s="2"/>
      <c r="C28" s="10"/>
      <c r="D28" s="10"/>
      <c r="E28" s="21"/>
      <c r="F28" s="38"/>
      <c r="G28" s="39"/>
      <c r="H28" s="39"/>
      <c r="I28" s="21"/>
    </row>
    <row r="29" spans="1:9" x14ac:dyDescent="0.25">
      <c r="A29" s="1"/>
      <c r="B29" s="2"/>
      <c r="C29" s="10"/>
      <c r="D29" s="10"/>
      <c r="E29" s="21"/>
      <c r="F29" s="38"/>
      <c r="G29" s="39"/>
      <c r="H29" s="39"/>
      <c r="I29" s="21"/>
    </row>
    <row r="30" spans="1:9" x14ac:dyDescent="0.25">
      <c r="A30" s="1"/>
      <c r="B30" s="2"/>
      <c r="C30" s="10"/>
      <c r="D30" s="10"/>
      <c r="E30" s="21"/>
      <c r="F30" s="38"/>
      <c r="G30" s="39"/>
      <c r="H30" s="39"/>
      <c r="I30" s="21"/>
    </row>
    <row r="31" spans="1:9" x14ac:dyDescent="0.25">
      <c r="A31" s="2"/>
      <c r="B31" s="2"/>
      <c r="C31" s="10"/>
      <c r="D31" s="10"/>
      <c r="E31" s="21"/>
      <c r="F31" s="38"/>
      <c r="G31" s="39"/>
      <c r="H31" s="39"/>
      <c r="I31" s="21"/>
    </row>
    <row r="32" spans="1:9" x14ac:dyDescent="0.25">
      <c r="A32" s="2"/>
      <c r="B32" s="2"/>
      <c r="C32" s="10"/>
      <c r="D32" s="10"/>
      <c r="E32" s="21"/>
      <c r="F32" s="38"/>
      <c r="G32" s="39"/>
      <c r="H32" s="39"/>
      <c r="I32" s="21"/>
    </row>
    <row r="33" spans="1:9" x14ac:dyDescent="0.25">
      <c r="A33" s="2"/>
      <c r="B33" s="2"/>
      <c r="C33" s="10"/>
      <c r="D33" s="10"/>
      <c r="E33" s="21"/>
      <c r="F33" s="38"/>
      <c r="G33" s="39"/>
      <c r="H33" s="39"/>
      <c r="I33" s="21"/>
    </row>
    <row r="34" spans="1:9" x14ac:dyDescent="0.25">
      <c r="A34" s="52"/>
      <c r="B34" s="52"/>
      <c r="C34" s="53"/>
      <c r="D34" s="53"/>
      <c r="E34" s="21"/>
      <c r="F34" s="38"/>
      <c r="G34" s="39"/>
      <c r="H34" s="39"/>
      <c r="I34" s="21"/>
    </row>
    <row r="35" spans="1:9" x14ac:dyDescent="0.25">
      <c r="A35" s="52"/>
      <c r="B35" s="52"/>
      <c r="C35" s="53"/>
      <c r="D35" s="53"/>
      <c r="E35" s="21"/>
      <c r="F35" s="40"/>
      <c r="G35" s="41"/>
      <c r="H35" s="41"/>
      <c r="I35" s="21"/>
    </row>
    <row r="36" spans="1:9" ht="15" thickBot="1" x14ac:dyDescent="0.35">
      <c r="A36" s="3"/>
      <c r="B36" s="3"/>
      <c r="C36" s="11"/>
      <c r="D36" s="11"/>
      <c r="E36" s="21"/>
      <c r="F36" s="42"/>
      <c r="G36" s="42"/>
      <c r="H36" s="42"/>
      <c r="I36" s="21"/>
    </row>
    <row r="37" spans="1:9" ht="14.25" thickBot="1" x14ac:dyDescent="0.3">
      <c r="A37" s="49" t="s">
        <v>22</v>
      </c>
      <c r="B37" s="49">
        <f>SUM(B22:B36)</f>
        <v>13</v>
      </c>
      <c r="C37" s="101" t="s">
        <v>30</v>
      </c>
      <c r="D37" s="50"/>
      <c r="E37" s="21"/>
      <c r="F37" s="21"/>
      <c r="G37" s="21"/>
      <c r="H37" s="21"/>
      <c r="I37" s="21"/>
    </row>
    <row r="38" spans="1:9" ht="15" thickBot="1" x14ac:dyDescent="0.35">
      <c r="A38" s="51"/>
      <c r="B38" s="51"/>
      <c r="C38" s="51"/>
      <c r="D38" s="51"/>
      <c r="E38" s="21"/>
      <c r="F38" s="21"/>
      <c r="G38" s="21"/>
      <c r="H38" s="21"/>
      <c r="I38" s="21"/>
    </row>
    <row r="39" spans="1:9" ht="18.75" thickBot="1" x14ac:dyDescent="0.3">
      <c r="A39" s="44" t="s">
        <v>14</v>
      </c>
      <c r="B39" s="45">
        <v>3</v>
      </c>
      <c r="C39" s="46" t="s">
        <v>23</v>
      </c>
      <c r="D39" s="55">
        <f>$D$20+7</f>
        <v>43518</v>
      </c>
      <c r="E39" s="21"/>
      <c r="F39" s="21"/>
      <c r="G39" s="21"/>
      <c r="H39" s="21"/>
      <c r="I39" s="21"/>
    </row>
    <row r="40" spans="1:9" ht="27.75" thickBot="1" x14ac:dyDescent="0.3">
      <c r="A40" s="47" t="s">
        <v>3</v>
      </c>
      <c r="B40" s="48" t="s">
        <v>15</v>
      </c>
      <c r="C40" s="47" t="s">
        <v>7</v>
      </c>
      <c r="D40" s="47" t="s">
        <v>13</v>
      </c>
    </row>
    <row r="41" spans="1:9" ht="27" x14ac:dyDescent="0.25">
      <c r="A41" s="5" t="s">
        <v>35</v>
      </c>
      <c r="B41" s="4">
        <v>12</v>
      </c>
      <c r="C41" s="112" t="s">
        <v>53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2"/>
      <c r="B53" s="52"/>
      <c r="C53" s="53"/>
      <c r="D53" s="53"/>
    </row>
    <row r="54" spans="1:4" x14ac:dyDescent="0.25">
      <c r="A54" s="52"/>
      <c r="B54" s="52"/>
      <c r="C54" s="53"/>
      <c r="D54" s="53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9" t="s">
        <v>22</v>
      </c>
      <c r="B56" s="49">
        <f>SUM(B41:B55)</f>
        <v>12</v>
      </c>
      <c r="C56" s="101" t="s">
        <v>30</v>
      </c>
      <c r="D56" s="50"/>
    </row>
    <row r="57" spans="1:4" ht="15" thickBot="1" x14ac:dyDescent="0.35">
      <c r="A57" s="51"/>
      <c r="B57" s="51"/>
      <c r="C57" s="51"/>
      <c r="D57" s="51"/>
    </row>
    <row r="58" spans="1:4" ht="18.75" thickBot="1" x14ac:dyDescent="0.3">
      <c r="A58" s="44" t="s">
        <v>14</v>
      </c>
      <c r="B58" s="45">
        <v>4</v>
      </c>
      <c r="C58" s="46" t="s">
        <v>23</v>
      </c>
      <c r="D58" s="55">
        <f>$D$39+7</f>
        <v>43525</v>
      </c>
    </row>
    <row r="59" spans="1:4" ht="27.75" thickBot="1" x14ac:dyDescent="0.3">
      <c r="A59" s="47" t="s">
        <v>3</v>
      </c>
      <c r="B59" s="48" t="s">
        <v>15</v>
      </c>
      <c r="C59" s="47" t="s">
        <v>7</v>
      </c>
      <c r="D59" s="47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2"/>
      <c r="B72" s="52"/>
      <c r="C72" s="53"/>
      <c r="D72" s="53"/>
    </row>
    <row r="73" spans="1:4" x14ac:dyDescent="0.25">
      <c r="A73" s="52"/>
      <c r="B73" s="52"/>
      <c r="C73" s="53"/>
      <c r="D73" s="53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9" t="s">
        <v>22</v>
      </c>
      <c r="B75" s="49">
        <f>SUM(B60:B74)</f>
        <v>0</v>
      </c>
      <c r="C75" s="101" t="s">
        <v>30</v>
      </c>
      <c r="D75" s="50"/>
    </row>
    <row r="76" spans="1:4" ht="15" thickBot="1" x14ac:dyDescent="0.35">
      <c r="A76" s="51"/>
      <c r="B76" s="51"/>
      <c r="C76" s="51"/>
      <c r="D76" s="51"/>
    </row>
    <row r="77" spans="1:4" ht="18.75" thickBot="1" x14ac:dyDescent="0.3">
      <c r="A77" s="44" t="s">
        <v>14</v>
      </c>
      <c r="B77" s="45">
        <v>5</v>
      </c>
      <c r="C77" s="46" t="s">
        <v>23</v>
      </c>
      <c r="D77" s="55">
        <f>$D$58+7</f>
        <v>43532</v>
      </c>
    </row>
    <row r="78" spans="1:4" ht="27.75" thickBot="1" x14ac:dyDescent="0.3">
      <c r="A78" s="47" t="s">
        <v>3</v>
      </c>
      <c r="B78" s="48" t="s">
        <v>15</v>
      </c>
      <c r="C78" s="47" t="s">
        <v>7</v>
      </c>
      <c r="D78" s="47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2"/>
      <c r="B91" s="52"/>
      <c r="C91" s="53"/>
      <c r="D91" s="53"/>
    </row>
    <row r="92" spans="1:4" x14ac:dyDescent="0.25">
      <c r="A92" s="52"/>
      <c r="B92" s="52"/>
      <c r="C92" s="53"/>
      <c r="D92" s="53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9" t="s">
        <v>22</v>
      </c>
      <c r="B94" s="49">
        <f>SUM(B79:B93)</f>
        <v>0</v>
      </c>
      <c r="C94" s="101" t="s">
        <v>30</v>
      </c>
      <c r="D94" s="50"/>
    </row>
    <row r="95" spans="1:4" ht="14.25" x14ac:dyDescent="0.3">
      <c r="A95" s="51"/>
      <c r="B95" s="51"/>
      <c r="C95" s="51"/>
      <c r="D95" s="51"/>
    </row>
    <row r="96" spans="1:4" x14ac:dyDescent="0.25">
      <c r="A96" s="100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>
      <formula1>0</formula1>
      <formula2>NbPerWeek * NbQuartPer</formula2>
    </dataValidation>
    <dataValidation type="list" allowBlank="1" showInputMessage="1" showErrorMessage="1" sqref="A79:A93 A22:A36 A41:A55 A60:A74 A3:A17">
      <formula1>lstTasks</formula1>
    </dataValidation>
  </dataValidations>
  <hyperlinks>
    <hyperlink ref="D6" r:id="rId1"/>
    <hyperlink ref="D4" r:id="rId2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53249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3249" r:id="rId6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Böhlen Luca</cp:lastModifiedBy>
  <cp:lastPrinted>2013-08-29T11:33:15Z</cp:lastPrinted>
  <dcterms:created xsi:type="dcterms:W3CDTF">1996-10-21T11:03:58Z</dcterms:created>
  <dcterms:modified xsi:type="dcterms:W3CDTF">2019-02-22T15:08:33Z</dcterms:modified>
</cp:coreProperties>
</file>